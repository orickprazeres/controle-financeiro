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Lancamentos" sheetId="2" state="visible" r:id="rId4"/>
    <sheet name="Categorias" sheetId="3" state="visible" r:id="rId5"/>
    <sheet name="Cartoes" sheetId="4" state="visible" r:id="rId6"/>
    <sheet name="Orcamento" sheetId="5" state="visible" r:id="rId7"/>
    <sheet name="Leia-me" sheetId="6" state="visible" r:id="rId8"/>
    <sheet name="Ativos" sheetId="7" state="visible" r:id="rId9"/>
    <sheet name="Investimentos" sheetId="8" state="visible" r:id="rId10"/>
    <sheet name="Sald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<sst xmlns="http://schemas.openxmlformats.org/spreadsheetml/2006/main" count="392" uniqueCount="197">
  <si>
    <t xml:space="preserve">PAINEL DE CUSTOS DA CASA</t>
  </si>
  <si>
    <t xml:space="preserve">Este painel é um resumo de conferência. A análise completa fica no site.</t>
  </si>
  <si>
    <t xml:space="preserve">Competência (AAAA-MM):</t>
  </si>
  <si>
    <t xml:space="preserve">2026-01</t>
  </si>
  <si>
    <t xml:space="preserve">← altere aqui</t>
  </si>
  <si>
    <t xml:space="preserve">Total de Entradas</t>
  </si>
  <si>
    <t xml:space="preserve">Total de Saídas</t>
  </si>
  <si>
    <t xml:space="preserve">Saldo do Mês</t>
  </si>
  <si>
    <t xml:space="preserve">Gasto no crédito</t>
  </si>
  <si>
    <t xml:space="preserve">Ainda a pagar</t>
  </si>
  <si>
    <t xml:space="preserve">GASTOS POR CATEGORIA</t>
  </si>
  <si>
    <t xml:space="preserve">EVOLUÇÃO DO ANO</t>
  </si>
  <si>
    <t xml:space="preserve">Categoria</t>
  </si>
  <si>
    <t xml:space="preserve">Gasto</t>
  </si>
  <si>
    <t xml:space="preserve">%</t>
  </si>
  <si>
    <t xml:space="preserve">Orçamento</t>
  </si>
  <si>
    <t xml:space="preserve">Diferença</t>
  </si>
  <si>
    <t xml:space="preserve">Competência</t>
  </si>
  <si>
    <t xml:space="preserve">Entradas</t>
  </si>
  <si>
    <t xml:space="preserve">Saídas</t>
  </si>
  <si>
    <t xml:space="preserve">Saldo</t>
  </si>
  <si>
    <t xml:space="preserve">Acumulado</t>
  </si>
  <si>
    <t xml:space="preserve">Aluguel/Condomínio</t>
  </si>
  <si>
    <t xml:space="preserve">Contas da casa (luz/água/gás)</t>
  </si>
  <si>
    <t xml:space="preserve">2026-02</t>
  </si>
  <si>
    <t xml:space="preserve">Internet/Telefone</t>
  </si>
  <si>
    <t xml:space="preserve">2026-03</t>
  </si>
  <si>
    <t xml:space="preserve">Manutenção/Móveis</t>
  </si>
  <si>
    <t xml:space="preserve">2026-04</t>
  </si>
  <si>
    <t xml:space="preserve">Mercado</t>
  </si>
  <si>
    <t xml:space="preserve">2026-05</t>
  </si>
  <si>
    <t xml:space="preserve">Restaurantes/Delivery</t>
  </si>
  <si>
    <t xml:space="preserve">2026-06</t>
  </si>
  <si>
    <t xml:space="preserve">Combustível</t>
  </si>
  <si>
    <t xml:space="preserve">2026-07</t>
  </si>
  <si>
    <t xml:space="preserve">Transporte/App</t>
  </si>
  <si>
    <t xml:space="preserve">2026-08</t>
  </si>
  <si>
    <t xml:space="preserve">Veículo (seguro/IPVA/manutenção)</t>
  </si>
  <si>
    <t xml:space="preserve">2026-09</t>
  </si>
  <si>
    <t xml:space="preserve">Plano de Saúde</t>
  </si>
  <si>
    <t xml:space="preserve">2026-10</t>
  </si>
  <si>
    <t xml:space="preserve">Saúde/Farmácia</t>
  </si>
  <si>
    <t xml:space="preserve">2026-11</t>
  </si>
  <si>
    <t xml:space="preserve">Educação</t>
  </si>
  <si>
    <t xml:space="preserve">2026-12</t>
  </si>
  <si>
    <t xml:space="preserve">Assinaturas/Streaming</t>
  </si>
  <si>
    <t xml:space="preserve">TOTAL</t>
  </si>
  <si>
    <t xml:space="preserve">Lazer</t>
  </si>
  <si>
    <t xml:space="preserve">Vestuário</t>
  </si>
  <si>
    <t xml:space="preserve">Viagem</t>
  </si>
  <si>
    <t xml:space="preserve">Amarelo = célula que você edita. O resto é fórmula, não digite por cima.</t>
  </si>
  <si>
    <t xml:space="preserve">Pets</t>
  </si>
  <si>
    <t xml:space="preserve">Presentes/Doações</t>
  </si>
  <si>
    <t xml:space="preserve">Impostos/Taxas</t>
  </si>
  <si>
    <t xml:space="preserve">Empréstimo/Financiamento</t>
  </si>
  <si>
    <t xml:space="preserve">Investimento/Reserva</t>
  </si>
  <si>
    <t xml:space="preserve">Tarifas bancárias</t>
  </si>
  <si>
    <t xml:space="preserve">Outros</t>
  </si>
  <si>
    <t xml:space="preserve">id</t>
  </si>
  <si>
    <t xml:space="preserve">data</t>
  </si>
  <si>
    <t xml:space="preserve">competencia</t>
  </si>
  <si>
    <t xml:space="preserve">tipo</t>
  </si>
  <si>
    <t xml:space="preserve">descricao</t>
  </si>
  <si>
    <t xml:space="preserve">categoria</t>
  </si>
  <si>
    <t xml:space="preserve">grupo</t>
  </si>
  <si>
    <t xml:space="preserve">forma_pagamento</t>
  </si>
  <si>
    <t xml:space="preserve">cartao</t>
  </si>
  <si>
    <t xml:space="preserve">parcela</t>
  </si>
  <si>
    <t xml:space="preserve">parcelas_total</t>
  </si>
  <si>
    <t xml:space="preserve">valor</t>
  </si>
  <si>
    <t xml:space="preserve">pago</t>
  </si>
  <si>
    <t xml:space="preserve">obs</t>
  </si>
  <si>
    <t xml:space="preserve">EXEMPLO-1</t>
  </si>
  <si>
    <t xml:space="preserve">2026-01-05</t>
  </si>
  <si>
    <t xml:space="preserve">Entrada</t>
  </si>
  <si>
    <t xml:space="preserve">Salário Ricardo</t>
  </si>
  <si>
    <t xml:space="preserve">Salário</t>
  </si>
  <si>
    <t xml:space="preserve">Receita</t>
  </si>
  <si>
    <t xml:space="preserve">Pix</t>
  </si>
  <si>
    <t xml:space="preserve">Sim</t>
  </si>
  <si>
    <t xml:space="preserve">apague esta linha</t>
  </si>
  <si>
    <t xml:space="preserve">EXEMPLO-2</t>
  </si>
  <si>
    <t xml:space="preserve">2026-01-07</t>
  </si>
  <si>
    <t xml:space="preserve">Saída</t>
  </si>
  <si>
    <t xml:space="preserve">Aluguel janeiro</t>
  </si>
  <si>
    <t xml:space="preserve">Moradia</t>
  </si>
  <si>
    <t xml:space="preserve">Boleto</t>
  </si>
  <si>
    <t xml:space="preserve">EXEMPLO-3</t>
  </si>
  <si>
    <t xml:space="preserve">2026-01-12</t>
  </si>
  <si>
    <t xml:space="preserve">Compra mensal Assaí</t>
  </si>
  <si>
    <t xml:space="preserve">Alimentação</t>
  </si>
  <si>
    <t xml:space="preserve">Crédito</t>
  </si>
  <si>
    <t xml:space="preserve">NU RICARDO</t>
  </si>
  <si>
    <t xml:space="preserve">Não</t>
  </si>
  <si>
    <t xml:space="preserve">EXEMPLO-4</t>
  </si>
  <si>
    <t xml:space="preserve">2026-01-20</t>
  </si>
  <si>
    <t xml:space="preserve">Geladeira 1/10</t>
  </si>
  <si>
    <t xml:space="preserve">VISA RICARDO</t>
  </si>
  <si>
    <t xml:space="preserve">parcela 1 de 10</t>
  </si>
  <si>
    <t xml:space="preserve">EXEMPLO-5</t>
  </si>
  <si>
    <t xml:space="preserve">Geladeira 2/10</t>
  </si>
  <si>
    <t xml:space="preserve">cai em fevereiro</t>
  </si>
  <si>
    <t xml:space="preserve">essencial</t>
  </si>
  <si>
    <t xml:space="preserve">Transporte</t>
  </si>
  <si>
    <t xml:space="preserve">Saúde</t>
  </si>
  <si>
    <t xml:space="preserve">Pessoal</t>
  </si>
  <si>
    <t xml:space="preserve">Financeiro</t>
  </si>
  <si>
    <t xml:space="preserve">-</t>
  </si>
  <si>
    <t xml:space="preserve">Renda Extra/Freelance</t>
  </si>
  <si>
    <t xml:space="preserve">Reembolso</t>
  </si>
  <si>
    <t xml:space="preserve">Rendimentos/Investimentos</t>
  </si>
  <si>
    <t xml:space="preserve">titular</t>
  </si>
  <si>
    <t xml:space="preserve">dia_fechamento</t>
  </si>
  <si>
    <t xml:space="preserve">dia_vencimento</t>
  </si>
  <si>
    <t xml:space="preserve">limite</t>
  </si>
  <si>
    <t xml:space="preserve">Ricardo</t>
  </si>
  <si>
    <t xml:space="preserve">NU HELENA</t>
  </si>
  <si>
    <t xml:space="preserve">Helena</t>
  </si>
  <si>
    <t xml:space="preserve">limite_mensal</t>
  </si>
  <si>
    <t xml:space="preserve">Preencha só as categorias que você quer limitar. Deixe 0 para ignorar.</t>
  </si>
  <si>
    <t xml:space="preserve">COMO ESTA PLANILHA FUNCIONA</t>
  </si>
  <si>
    <t xml:space="preserve">A regra de ouro: TODO lançamento — entrada, saída, dinheiro, débito ou cartão — vai numa</t>
  </si>
  <si>
    <t xml:space="preserve">única aba: Lancamentos. Não existe mais uma aba por mês nem uma aba por cartão.</t>
  </si>
  <si>
    <t xml:space="preserve">AS COLUNAS</t>
  </si>
  <si>
    <t xml:space="preserve">id — código único da linha. O site preenche sozinho. Se digitar na mão, use qualquer texto único.</t>
  </si>
  <si>
    <t xml:space="preserve">data — quando o gasto aconteceu (AAAA-MM-DD).</t>
  </si>
  <si>
    <t xml:space="preserve">competencia — em que mês esse valor pesa no bolso (AAAA-MM). É por AQUI que tudo é somado.</t>
  </si>
  <si>
    <t xml:space="preserve">    Numa compra parcelada, cada parcela vira uma linha, com a mesma data e competências diferentes.</t>
  </si>
  <si>
    <t xml:space="preserve">tipo — Entrada ou Saída.</t>
  </si>
  <si>
    <t xml:space="preserve">descricao — texto livre.</t>
  </si>
  <si>
    <t xml:space="preserve">categoria — escolha da lista (aba Categorias). Uma lista só, valendo para tudo.</t>
  </si>
  <si>
    <t xml:space="preserve">grupo — preenchido pelo site a partir da categoria. Serve para agrupar no painel.</t>
  </si>
  <si>
    <t xml:space="preserve">forma_pagamento — Dinheiro, Débito, Pix, Boleto, Crédito ou Transferência.</t>
  </si>
  <si>
    <t xml:space="preserve">cartao — só quando forma_pagamento = Crédito.</t>
  </si>
  <si>
    <t xml:space="preserve">parcela / parcelas_total — 1 e 1 numa compra à vista; 3 e 10 na terceira de dez.</t>
  </si>
  <si>
    <t xml:space="preserve">valor — o valor DA PARCELA, não o total da compra.</t>
  </si>
  <si>
    <t xml:space="preserve">pago — Sim ou Não.</t>
  </si>
  <si>
    <t xml:space="preserve">O QUE MUDOU EM RELAÇÃO À PLANILHA ANTIGA</t>
  </si>
  <si>
    <t xml:space="preserve">1. Uma tabela no lugar de 25 abas — dá para comparar meses e ver tendência.</t>
  </si>
  <si>
    <t xml:space="preserve">2. Uma lista única de categorias — antes as Saídas e o Cartão usavam listas diferentes e nunca somavam.</t>
  </si>
  <si>
    <t xml:space="preserve">3. Cartão deixou de ser categoria. Agora é forma de pagamento. Remédio no cartão conta como Saúde,</t>
  </si>
  <si>
    <t xml:space="preserve">    e você continua vendo o total da fatura filtrando por forma_pagamento = Crédito.</t>
  </si>
  <si>
    <t xml:space="preserve">4. Parcela virou linha com competência própria — você enxerga o que já está comprometido lá na frente.</t>
  </si>
  <si>
    <t xml:space="preserve">5. Sem limite de linhas e sem copiar aba todo mês.</t>
  </si>
  <si>
    <t xml:space="preserve">ANTES DE COMEÇAR</t>
  </si>
  <si>
    <t xml:space="preserve">Apague as 5 linhas de EXEMPLO da aba Lancamentos. (O site também as ignora sozinho.)</t>
  </si>
  <si>
    <t xml:space="preserve">Preencha os limites na aba Orcamento só das categorias que quiser controlar.</t>
  </si>
  <si>
    <t xml:space="preserve">Ajuste os cartões e os dias de fechamento na aba Cartoes.</t>
  </si>
  <si>
    <t xml:space="preserve">INVESTIMENTOS (novo na v1.1.0)</t>
  </si>
  <si>
    <t xml:space="preserve">Três abas trabalham juntas:</t>
  </si>
  <si>
    <t xml:space="preserve">Ativos — o catálogo do que você tem. Uma linha por aplicação. A coluna 'classe' é texto livre:</t>
  </si>
  <si>
    <t xml:space="preserve">    comece com Renda Fixa e acrescente Ações, FII, Cripto, Fundo, o que aparecer. O site lê daqui.</t>
  </si>
  <si>
    <t xml:space="preserve">Investimentos — o dinheiro que entra e sai da carteira. Só duas coisas: Aporte e Resgate.</t>
  </si>
  <si>
    <t xml:space="preserve">    Rendimento NÃO se lança aqui — ele é calculado.</t>
  </si>
  <si>
    <t xml:space="preserve">Saldos — uma foto por mês: quanto cada ativo valia no último dia. É o número que a corretora mostra.</t>
  </si>
  <si>
    <t xml:space="preserve">Por que separado? Porque assim o rendimento é deduzido, não digitado:</t>
  </si>
  <si>
    <t xml:space="preserve">    rendimento do mês = saldo final − saldo inicial − aportes + resgates</t>
  </si>
  <si>
    <t xml:space="preserve">    Você nunca precisa saber quanto rendeu; basta copiar o saldo. A conta se vira.</t>
  </si>
  <si>
    <t xml:space="preserve">ATENÇÃO — não lance o aporte duas vezes.</t>
  </si>
  <si>
    <t xml:space="preserve">O aporte é transferência de patrimônio, não despesa. Registre só na aba Investimentos.</t>
  </si>
  <si>
    <t xml:space="preserve">Não crie também uma Saída em 'Investimento/Reserva' na aba Lancamentos, senão ele conta em dobro.</t>
  </si>
  <si>
    <t xml:space="preserve">ativo</t>
  </si>
  <si>
    <t xml:space="preserve">classe</t>
  </si>
  <si>
    <t xml:space="preserve">indexador</t>
  </si>
  <si>
    <t xml:space="preserve">taxa_contratada</t>
  </si>
  <si>
    <t xml:space="preserve">instituicao</t>
  </si>
  <si>
    <t xml:space="preserve">vencimento</t>
  </si>
  <si>
    <t xml:space="preserve">liquidez</t>
  </si>
  <si>
    <t xml:space="preserve">em_uso</t>
  </si>
  <si>
    <t xml:space="preserve">CDB Liquidez Diária Banco X</t>
  </si>
  <si>
    <t xml:space="preserve">Renda Fixa</t>
  </si>
  <si>
    <t xml:space="preserve">% do CDI</t>
  </si>
  <si>
    <t xml:space="preserve">Banco X</t>
  </si>
  <si>
    <t xml:space="preserve">Diária</t>
  </si>
  <si>
    <t xml:space="preserve">Tesouro Selic 2029</t>
  </si>
  <si>
    <t xml:space="preserve">Selic +</t>
  </si>
  <si>
    <t xml:space="preserve">Tesouro Direto</t>
  </si>
  <si>
    <t xml:space="preserve">2029-03-01</t>
  </si>
  <si>
    <t xml:space="preserve">CDB 2 anos Banco Y</t>
  </si>
  <si>
    <t xml:space="preserve">Banco Y</t>
  </si>
  <si>
    <t xml:space="preserve">2028-08-15</t>
  </si>
  <si>
    <t xml:space="preserve">No vencimento</t>
  </si>
  <si>
    <t xml:space="preserve">Tesouro IPCA+ 2035</t>
  </si>
  <si>
    <t xml:space="preserve">IPCA +</t>
  </si>
  <si>
    <t xml:space="preserve">2035-05-15</t>
  </si>
  <si>
    <t xml:space="preserve">LCI 90 dias</t>
  </si>
  <si>
    <t xml:space="preserve">Banco Z</t>
  </si>
  <si>
    <t xml:space="preserve">2026-12-20</t>
  </si>
  <si>
    <t xml:space="preserve">Estes 5 são exemplos — apague e cadastre os seus. A lista de 'classe' é livre: acrescente Ações, FII, Cripto, Fundo, Previdência…</t>
  </si>
  <si>
    <t xml:space="preserve">EXEMPLO-A1</t>
  </si>
  <si>
    <t xml:space="preserve">2026-07-05</t>
  </si>
  <si>
    <t xml:space="preserve">Aporte</t>
  </si>
  <si>
    <t xml:space="preserve">EXEMPLO-A2</t>
  </si>
  <si>
    <t xml:space="preserve">saldo</t>
  </si>
  <si>
    <t xml:space="preserve">EXEMPLO-S1</t>
  </si>
  <si>
    <t xml:space="preserve">saldo no fim do mês</t>
  </si>
  <si>
    <t xml:space="preserve">EXEMPLO-S2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</si>
</sst>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(R$ &quot;#,##0.00\);\-"/>
    <numFmt numFmtId="166" formatCode="0.0%;\-0.0%;\-"/>
    <numFmt numFmtId="167" formatCode="#,##0.00"/>
    <numFmt numFmtId="168" formatCode="&quot;R$ &quot;#,##0.00;&quot;(R$ 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2E6E9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  <fill>
      <patternFill patternType="solid">
        <fgColor rgb="FF2E6E9E"/>
        <bgColor rgb="FF008080"/>
      </patternFill>
    </fill>
    <fill>
      <patternFill patternType="solid">
        <fgColor rgb="FF1F3A5F"/>
        <bgColor rgb="FF333333"/>
      </patternFill>
    </fill>
    <fill>
      <patternFill patternType="solid">
        <fgColor rgb="FF1E6B4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5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2E6E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4" activeCellId="0" sqref="O2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6" min="5" style="0" width="15"/>
    <col collapsed="false" customWidth="true" hidden="false" outlineLevel="0" max="7" min="7" style="0" width="3"/>
    <col collapsed="false" customWidth="true" hidden="false" outlineLevel="0" max="8" min="8" style="0" width="13"/>
    <col collapsed="false" customWidth="true" hidden="false" outlineLevel="0" max="11" min="9" style="0" width="14"/>
    <col collapsed="false" customWidth="true" hidden="false" outlineLevel="0" max="12" min="12" style="0" width="15"/>
  </cols>
  <sheetData>
    <row r="2" customFormat="false" ht="20.2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D5" s="2" t="s">
        <v>4</v>
      </c>
    </row>
    <row r="7" customFormat="false" ht="15" hidden="false" customHeight="false" outlineLevel="0" collapsed="false">
      <c r="B7" s="5" t="s">
        <v>5</v>
      </c>
      <c r="C7" s="6" t="n">
        <f aca="false">SUMIFS(Lancamentos!$L:$L,Lancamentos!$C:$C,$C$5,Lancamentos!$D:$D,"Entrada")</f>
        <v>7500</v>
      </c>
    </row>
    <row r="8" customFormat="false" ht="15" hidden="false" customHeight="false" outlineLevel="0" collapsed="false">
      <c r="B8" s="5" t="s">
        <v>6</v>
      </c>
      <c r="C8" s="6" t="n">
        <f aca="false">SUMIFS(Lancamentos!$L:$L,Lancamentos!$C:$C,$C$5,Lancamentos!$D:$D,"Saída")</f>
        <v>3480.45</v>
      </c>
    </row>
    <row r="9" customFormat="false" ht="15" hidden="false" customHeight="false" outlineLevel="0" collapsed="false">
      <c r="B9" s="5" t="s">
        <v>7</v>
      </c>
      <c r="C9" s="7" t="n">
        <f aca="false">C7-C8</f>
        <v>4019.55</v>
      </c>
    </row>
    <row r="10" customFormat="false" ht="15" hidden="false" customHeight="false" outlineLevel="0" collapsed="false">
      <c r="B10" s="5" t="s">
        <v>8</v>
      </c>
      <c r="C10" s="6" t="n">
        <f aca="false">SUMIFS(Lancamentos!$L:$L,Lancamentos!$C:$C,$C$5,Lancamentos!$H:$H,"Crédito")</f>
        <v>1280.45</v>
      </c>
    </row>
    <row r="11" customFormat="false" ht="15" hidden="false" customHeight="false" outlineLevel="0" collapsed="false">
      <c r="B11" s="5" t="s">
        <v>9</v>
      </c>
      <c r="C11" s="6" t="n">
        <f aca="false">SUMIFS(Lancamentos!$L:$L,Lancamentos!$C:$C,$C$5,Lancamentos!$D:$D,"Saída",Lancamentos!$M:$M,"Não")</f>
        <v>1280.45</v>
      </c>
    </row>
    <row r="13" customFormat="false" ht="15.75" hidden="false" customHeight="true" outlineLevel="0" collapsed="false">
      <c r="B13" s="8" t="s">
        <v>10</v>
      </c>
      <c r="H13" s="8" t="s">
        <v>11</v>
      </c>
    </row>
    <row r="14" customFormat="false" ht="15" hidden="false" customHeight="false" outlineLevel="0" collapsed="false">
      <c r="B14" s="9" t="s">
        <v>12</v>
      </c>
      <c r="C14" s="9" t="s">
        <v>13</v>
      </c>
      <c r="D14" s="9" t="s">
        <v>14</v>
      </c>
      <c r="E14" s="9" t="s">
        <v>15</v>
      </c>
      <c r="F14" s="9" t="s">
        <v>16</v>
      </c>
      <c r="H14" s="9" t="s">
        <v>17</v>
      </c>
      <c r="I14" s="9" t="s">
        <v>18</v>
      </c>
      <c r="J14" s="9" t="s">
        <v>19</v>
      </c>
      <c r="K14" s="9" t="s">
        <v>20</v>
      </c>
      <c r="L14" s="9" t="s">
        <v>21</v>
      </c>
    </row>
    <row r="15" customFormat="false" ht="15" hidden="false" customHeight="false" outlineLevel="0" collapsed="false">
      <c r="B15" s="10" t="s">
        <v>22</v>
      </c>
      <c r="C15" s="6" t="n">
        <f aca="false">SUMIFS(Lancamentos!$L:$L,Lancamentos!$C:$C,$C$5,Lancamentos!$F:$F,$B15)</f>
        <v>2200</v>
      </c>
      <c r="D15" s="11" t="n">
        <f aca="false">IF($C$8=0,0,C15/$C$8)</f>
        <v>0.632102170696318</v>
      </c>
      <c r="E15" s="6" t="n">
        <f aca="false">IFERROR(INDEX(Orcamento!$B:$B,MATCH($B15,Orcamento!$A:$A,0)),0)</f>
        <v>0</v>
      </c>
      <c r="F15" s="6" t="str">
        <f aca="false">IF(E15=0,"",E15-C15)</f>
        <v/>
      </c>
      <c r="H15" s="12" t="s">
        <v>3</v>
      </c>
      <c r="I15" s="6" t="n">
        <f aca="false">SUMIFS(Lancamentos!$L:$L,Lancamentos!$C:$C,$H15,Lancamentos!$D:$D,"Entrada")</f>
        <v>7500</v>
      </c>
      <c r="J15" s="6" t="n">
        <f aca="false">SUMIFS(Lancamentos!$L:$L,Lancamentos!$C:$C,$H15,Lancamentos!$D:$D,"Saída")</f>
        <v>3480.45</v>
      </c>
      <c r="K15" s="6" t="n">
        <f aca="false">I15-J15</f>
        <v>4019.55</v>
      </c>
      <c r="L15" s="6" t="n">
        <f aca="false">SUM($K$15:K15)</f>
        <v>4019.55</v>
      </c>
    </row>
    <row r="16" customFormat="false" ht="15" hidden="false" customHeight="false" outlineLevel="0" collapsed="false">
      <c r="B16" s="10" t="s">
        <v>23</v>
      </c>
      <c r="C16" s="6" t="n">
        <f aca="false">SUMIFS(Lancamentos!$L:$L,Lancamentos!$C:$C,$C$5,Lancamentos!$F:$F,$B16)</f>
        <v>0</v>
      </c>
      <c r="D16" s="11" t="n">
        <f aca="false">IF($C$8=0,0,C16/$C$8)</f>
        <v>0</v>
      </c>
      <c r="E16" s="6" t="n">
        <f aca="false">IFERROR(INDEX(Orcamento!$B:$B,MATCH($B16,Orcamento!$A:$A,0)),0)</f>
        <v>0</v>
      </c>
      <c r="F16" s="6" t="str">
        <f aca="false">IF(E16=0,"",E16-C16)</f>
        <v/>
      </c>
      <c r="H16" s="12" t="s">
        <v>24</v>
      </c>
      <c r="I16" s="6" t="n">
        <f aca="false">SUMIFS(Lancamentos!$L:$L,Lancamentos!$C:$C,$H16,Lancamentos!$D:$D,"Entrada")</f>
        <v>0</v>
      </c>
      <c r="J16" s="6" t="n">
        <f aca="false">SUMIFS(Lancamentos!$L:$L,Lancamentos!$C:$C,$H16,Lancamentos!$D:$D,"Saída")</f>
        <v>420</v>
      </c>
      <c r="K16" s="6" t="n">
        <f aca="false">I16-J16</f>
        <v>-420</v>
      </c>
      <c r="L16" s="6" t="n">
        <f aca="false">SUM($K$15:K16)</f>
        <v>3599.55</v>
      </c>
    </row>
    <row r="17" customFormat="false" ht="15" hidden="false" customHeight="false" outlineLevel="0" collapsed="false">
      <c r="B17" s="10" t="s">
        <v>25</v>
      </c>
      <c r="C17" s="6" t="n">
        <f aca="false">SUMIFS(Lancamentos!$L:$L,Lancamentos!$C:$C,$C$5,Lancamentos!$F:$F,$B17)</f>
        <v>0</v>
      </c>
      <c r="D17" s="11" t="n">
        <f aca="false">IF($C$8=0,0,C17/$C$8)</f>
        <v>0</v>
      </c>
      <c r="E17" s="6" t="n">
        <f aca="false">IFERROR(INDEX(Orcamento!$B:$B,MATCH($B17,Orcamento!$A:$A,0)),0)</f>
        <v>0</v>
      </c>
      <c r="F17" s="6" t="str">
        <f aca="false">IF(E17=0,"",E17-C17)</f>
        <v/>
      </c>
      <c r="H17" s="12" t="s">
        <v>26</v>
      </c>
      <c r="I17" s="6" t="n">
        <f aca="false">SUMIFS(Lancamentos!$L:$L,Lancamentos!$C:$C,$H17,Lancamentos!$D:$D,"Entrada")</f>
        <v>0</v>
      </c>
      <c r="J17" s="6" t="n">
        <f aca="false">SUMIFS(Lancamentos!$L:$L,Lancamentos!$C:$C,$H17,Lancamentos!$D:$D,"Saída")</f>
        <v>0</v>
      </c>
      <c r="K17" s="6" t="n">
        <f aca="false">I17-J17</f>
        <v>0</v>
      </c>
      <c r="L17" s="6" t="n">
        <f aca="false">SUM($K$15:K17)</f>
        <v>3599.55</v>
      </c>
    </row>
    <row r="18" customFormat="false" ht="15" hidden="false" customHeight="false" outlineLevel="0" collapsed="false">
      <c r="B18" s="10" t="s">
        <v>27</v>
      </c>
      <c r="C18" s="6" t="n">
        <f aca="false">SUMIFS(Lancamentos!$L:$L,Lancamentos!$C:$C,$C$5,Lancamentos!$F:$F,$B18)</f>
        <v>420</v>
      </c>
      <c r="D18" s="11" t="n">
        <f aca="false">IF($C$8=0,0,C18/$C$8)</f>
        <v>0.120674050769297</v>
      </c>
      <c r="E18" s="6" t="n">
        <f aca="false">IFERROR(INDEX(Orcamento!$B:$B,MATCH($B18,Orcamento!$A:$A,0)),0)</f>
        <v>0</v>
      </c>
      <c r="F18" s="6" t="str">
        <f aca="false">IF(E18=0,"",E18-C18)</f>
        <v/>
      </c>
      <c r="H18" s="12" t="s">
        <v>28</v>
      </c>
      <c r="I18" s="6" t="n">
        <f aca="false">SUMIFS(Lancamentos!$L:$L,Lancamentos!$C:$C,$H18,Lancamentos!$D:$D,"Entrada")</f>
        <v>0</v>
      </c>
      <c r="J18" s="6" t="n">
        <f aca="false">SUMIFS(Lancamentos!$L:$L,Lancamentos!$C:$C,$H18,Lancamentos!$D:$D,"Saída")</f>
        <v>0</v>
      </c>
      <c r="K18" s="6" t="n">
        <f aca="false">I18-J18</f>
        <v>0</v>
      </c>
      <c r="L18" s="6" t="n">
        <f aca="false">SUM($K$15:K18)</f>
        <v>3599.55</v>
      </c>
    </row>
    <row r="19" customFormat="false" ht="15" hidden="false" customHeight="false" outlineLevel="0" collapsed="false">
      <c r="B19" s="10" t="s">
        <v>29</v>
      </c>
      <c r="C19" s="6" t="n">
        <f aca="false">SUMIFS(Lancamentos!$L:$L,Lancamentos!$C:$C,$C$5,Lancamentos!$F:$F,$B19)</f>
        <v>860.45</v>
      </c>
      <c r="D19" s="11" t="n">
        <f aca="false">IF($C$8=0,0,C19/$C$8)</f>
        <v>0.247223778534385</v>
      </c>
      <c r="E19" s="6" t="n">
        <f aca="false">IFERROR(INDEX(Orcamento!$B:$B,MATCH($B19,Orcamento!$A:$A,0)),0)</f>
        <v>0</v>
      </c>
      <c r="F19" s="6" t="str">
        <f aca="false">IF(E19=0,"",E19-C19)</f>
        <v/>
      </c>
      <c r="H19" s="12" t="s">
        <v>30</v>
      </c>
      <c r="I19" s="6" t="n">
        <f aca="false">SUMIFS(Lancamentos!$L:$L,Lancamentos!$C:$C,$H19,Lancamentos!$D:$D,"Entrada")</f>
        <v>0</v>
      </c>
      <c r="J19" s="6" t="n">
        <f aca="false">SUMIFS(Lancamentos!$L:$L,Lancamentos!$C:$C,$H19,Lancamentos!$D:$D,"Saída")</f>
        <v>0</v>
      </c>
      <c r="K19" s="6" t="n">
        <f aca="false">I19-J19</f>
        <v>0</v>
      </c>
      <c r="L19" s="6" t="n">
        <f aca="false">SUM($K$15:K19)</f>
        <v>3599.55</v>
      </c>
    </row>
    <row r="20" customFormat="false" ht="15" hidden="false" customHeight="false" outlineLevel="0" collapsed="false">
      <c r="B20" s="10" t="s">
        <v>31</v>
      </c>
      <c r="C20" s="6" t="n">
        <f aca="false">SUMIFS(Lancamentos!$L:$L,Lancamentos!$C:$C,$C$5,Lancamentos!$F:$F,$B20)</f>
        <v>0</v>
      </c>
      <c r="D20" s="11" t="n">
        <f aca="false">IF($C$8=0,0,C20/$C$8)</f>
        <v>0</v>
      </c>
      <c r="E20" s="6" t="n">
        <f aca="false">IFERROR(INDEX(Orcamento!$B:$B,MATCH($B20,Orcamento!$A:$A,0)),0)</f>
        <v>0</v>
      </c>
      <c r="F20" s="6" t="str">
        <f aca="false">IF(E20=0,"",E20-C20)</f>
        <v/>
      </c>
      <c r="H20" s="12" t="s">
        <v>32</v>
      </c>
      <c r="I20" s="6" t="n">
        <f aca="false">SUMIFS(Lancamentos!$L:$L,Lancamentos!$C:$C,$H20,Lancamentos!$D:$D,"Entrada")</f>
        <v>0</v>
      </c>
      <c r="J20" s="6" t="n">
        <f aca="false">SUMIFS(Lancamentos!$L:$L,Lancamentos!$C:$C,$H20,Lancamentos!$D:$D,"Saída")</f>
        <v>0</v>
      </c>
      <c r="K20" s="6" t="n">
        <f aca="false">I20-J20</f>
        <v>0</v>
      </c>
      <c r="L20" s="6" t="n">
        <f aca="false">SUM($K$15:K20)</f>
        <v>3599.55</v>
      </c>
    </row>
    <row r="21" customFormat="false" ht="15" hidden="false" customHeight="false" outlineLevel="0" collapsed="false">
      <c r="B21" s="10" t="s">
        <v>33</v>
      </c>
      <c r="C21" s="6" t="n">
        <f aca="false">SUMIFS(Lancamentos!$L:$L,Lancamentos!$C:$C,$C$5,Lancamentos!$F:$F,$B21)</f>
        <v>0</v>
      </c>
      <c r="D21" s="11" t="n">
        <f aca="false">IF($C$8=0,0,C21/$C$8)</f>
        <v>0</v>
      </c>
      <c r="E21" s="6" t="n">
        <f aca="false">IFERROR(INDEX(Orcamento!$B:$B,MATCH($B21,Orcamento!$A:$A,0)),0)</f>
        <v>0</v>
      </c>
      <c r="F21" s="6" t="str">
        <f aca="false">IF(E21=0,"",E21-C21)</f>
        <v/>
      </c>
      <c r="H21" s="12" t="s">
        <v>34</v>
      </c>
      <c r="I21" s="6" t="n">
        <f aca="false">SUMIFS(Lancamentos!$L:$L,Lancamentos!$C:$C,$H21,Lancamentos!$D:$D,"Entrada")</f>
        <v>0</v>
      </c>
      <c r="J21" s="6" t="n">
        <f aca="false">SUMIFS(Lancamentos!$L:$L,Lancamentos!$C:$C,$H21,Lancamentos!$D:$D,"Saída")</f>
        <v>0</v>
      </c>
      <c r="K21" s="6" t="n">
        <f aca="false">I21-J21</f>
        <v>0</v>
      </c>
      <c r="L21" s="6" t="n">
        <f aca="false">SUM($K$15:K21)</f>
        <v>3599.55</v>
      </c>
    </row>
    <row r="22" customFormat="false" ht="15" hidden="false" customHeight="false" outlineLevel="0" collapsed="false">
      <c r="B22" s="10" t="s">
        <v>35</v>
      </c>
      <c r="C22" s="6" t="n">
        <f aca="false">SUMIFS(Lancamentos!$L:$L,Lancamentos!$C:$C,$C$5,Lancamentos!$F:$F,$B22)</f>
        <v>0</v>
      </c>
      <c r="D22" s="11" t="n">
        <f aca="false">IF($C$8=0,0,C22/$C$8)</f>
        <v>0</v>
      </c>
      <c r="E22" s="6" t="n">
        <f aca="false">IFERROR(INDEX(Orcamento!$B:$B,MATCH($B22,Orcamento!$A:$A,0)),0)</f>
        <v>0</v>
      </c>
      <c r="F22" s="6" t="str">
        <f aca="false">IF(E22=0,"",E22-C22)</f>
        <v/>
      </c>
      <c r="H22" s="12" t="s">
        <v>36</v>
      </c>
      <c r="I22" s="6" t="n">
        <f aca="false">SUMIFS(Lancamentos!$L:$L,Lancamentos!$C:$C,$H22,Lancamentos!$D:$D,"Entrada")</f>
        <v>0</v>
      </c>
      <c r="J22" s="6" t="n">
        <f aca="false">SUMIFS(Lancamentos!$L:$L,Lancamentos!$C:$C,$H22,Lancamentos!$D:$D,"Saída")</f>
        <v>0</v>
      </c>
      <c r="K22" s="6" t="n">
        <f aca="false">I22-J22</f>
        <v>0</v>
      </c>
      <c r="L22" s="6" t="n">
        <f aca="false">SUM($K$15:K22)</f>
        <v>3599.55</v>
      </c>
    </row>
    <row r="23" customFormat="false" ht="15" hidden="false" customHeight="false" outlineLevel="0" collapsed="false">
      <c r="B23" s="10" t="s">
        <v>37</v>
      </c>
      <c r="C23" s="6" t="n">
        <f aca="false">SUMIFS(Lancamentos!$L:$L,Lancamentos!$C:$C,$C$5,Lancamentos!$F:$F,$B23)</f>
        <v>0</v>
      </c>
      <c r="D23" s="11" t="n">
        <f aca="false">IF($C$8=0,0,C23/$C$8)</f>
        <v>0</v>
      </c>
      <c r="E23" s="6" t="n">
        <f aca="false">IFERROR(INDEX(Orcamento!$B:$B,MATCH($B23,Orcamento!$A:$A,0)),0)</f>
        <v>0</v>
      </c>
      <c r="F23" s="6" t="str">
        <f aca="false">IF(E23=0,"",E23-C23)</f>
        <v/>
      </c>
      <c r="H23" s="12" t="s">
        <v>38</v>
      </c>
      <c r="I23" s="6" t="n">
        <f aca="false">SUMIFS(Lancamentos!$L:$L,Lancamentos!$C:$C,$H23,Lancamentos!$D:$D,"Entrada")</f>
        <v>0</v>
      </c>
      <c r="J23" s="6" t="n">
        <f aca="false">SUMIFS(Lancamentos!$L:$L,Lancamentos!$C:$C,$H23,Lancamentos!$D:$D,"Saída")</f>
        <v>0</v>
      </c>
      <c r="K23" s="6" t="n">
        <f aca="false">I23-J23</f>
        <v>0</v>
      </c>
      <c r="L23" s="6" t="n">
        <f aca="false">SUM($K$15:K23)</f>
        <v>3599.55</v>
      </c>
    </row>
    <row r="24" customFormat="false" ht="15" hidden="false" customHeight="false" outlineLevel="0" collapsed="false">
      <c r="B24" s="10" t="s">
        <v>39</v>
      </c>
      <c r="C24" s="6" t="n">
        <f aca="false">SUMIFS(Lancamentos!$L:$L,Lancamentos!$C:$C,$C$5,Lancamentos!$F:$F,$B24)</f>
        <v>0</v>
      </c>
      <c r="D24" s="11" t="n">
        <f aca="false">IF($C$8=0,0,C24/$C$8)</f>
        <v>0</v>
      </c>
      <c r="E24" s="6" t="n">
        <f aca="false">IFERROR(INDEX(Orcamento!$B:$B,MATCH($B24,Orcamento!$A:$A,0)),0)</f>
        <v>0</v>
      </c>
      <c r="F24" s="6" t="str">
        <f aca="false">IF(E24=0,"",E24-C24)</f>
        <v/>
      </c>
      <c r="H24" s="12" t="s">
        <v>40</v>
      </c>
      <c r="I24" s="6" t="n">
        <f aca="false">SUMIFS(Lancamentos!$L:$L,Lancamentos!$C:$C,$H24,Lancamentos!$D:$D,"Entrada")</f>
        <v>0</v>
      </c>
      <c r="J24" s="6" t="n">
        <f aca="false">SUMIFS(Lancamentos!$L:$L,Lancamentos!$C:$C,$H24,Lancamentos!$D:$D,"Saída")</f>
        <v>0</v>
      </c>
      <c r="K24" s="6" t="n">
        <f aca="false">I24-J24</f>
        <v>0</v>
      </c>
      <c r="L24" s="6" t="n">
        <f aca="false">SUM($K$15:K24)</f>
        <v>3599.55</v>
      </c>
    </row>
    <row r="25" customFormat="false" ht="15" hidden="false" customHeight="false" outlineLevel="0" collapsed="false">
      <c r="B25" s="10" t="s">
        <v>41</v>
      </c>
      <c r="C25" s="6" t="n">
        <f aca="false">SUMIFS(Lancamentos!$L:$L,Lancamentos!$C:$C,$C$5,Lancamentos!$F:$F,$B25)</f>
        <v>0</v>
      </c>
      <c r="D25" s="11" t="n">
        <f aca="false">IF($C$8=0,0,C25/$C$8)</f>
        <v>0</v>
      </c>
      <c r="E25" s="6" t="n">
        <f aca="false">IFERROR(INDEX(Orcamento!$B:$B,MATCH($B25,Orcamento!$A:$A,0)),0)</f>
        <v>0</v>
      </c>
      <c r="F25" s="6" t="str">
        <f aca="false">IF(E25=0,"",E25-C25)</f>
        <v/>
      </c>
      <c r="H25" s="12" t="s">
        <v>42</v>
      </c>
      <c r="I25" s="6" t="n">
        <f aca="false">SUMIFS(Lancamentos!$L:$L,Lancamentos!$C:$C,$H25,Lancamentos!$D:$D,"Entrada")</f>
        <v>0</v>
      </c>
      <c r="J25" s="6" t="n">
        <f aca="false">SUMIFS(Lancamentos!$L:$L,Lancamentos!$C:$C,$H25,Lancamentos!$D:$D,"Saída")</f>
        <v>0</v>
      </c>
      <c r="K25" s="6" t="n">
        <f aca="false">I25-J25</f>
        <v>0</v>
      </c>
      <c r="L25" s="6" t="n">
        <f aca="false">SUM($K$15:K25)</f>
        <v>3599.55</v>
      </c>
    </row>
    <row r="26" customFormat="false" ht="15" hidden="false" customHeight="false" outlineLevel="0" collapsed="false">
      <c r="B26" s="10" t="s">
        <v>43</v>
      </c>
      <c r="C26" s="6" t="n">
        <f aca="false">SUMIFS(Lancamentos!$L:$L,Lancamentos!$C:$C,$C$5,Lancamentos!$F:$F,$B26)</f>
        <v>0</v>
      </c>
      <c r="D26" s="11" t="n">
        <f aca="false">IF($C$8=0,0,C26/$C$8)</f>
        <v>0</v>
      </c>
      <c r="E26" s="6" t="n">
        <f aca="false">IFERROR(INDEX(Orcamento!$B:$B,MATCH($B26,Orcamento!$A:$A,0)),0)</f>
        <v>0</v>
      </c>
      <c r="F26" s="6" t="str">
        <f aca="false">IF(E26=0,"",E26-C26)</f>
        <v/>
      </c>
      <c r="H26" s="12" t="s">
        <v>44</v>
      </c>
      <c r="I26" s="6" t="n">
        <f aca="false">SUMIFS(Lancamentos!$L:$L,Lancamentos!$C:$C,$H26,Lancamentos!$D:$D,"Entrada")</f>
        <v>0</v>
      </c>
      <c r="J26" s="6" t="n">
        <f aca="false">SUMIFS(Lancamentos!$L:$L,Lancamentos!$C:$C,$H26,Lancamentos!$D:$D,"Saída")</f>
        <v>0</v>
      </c>
      <c r="K26" s="6" t="n">
        <f aca="false">I26-J26</f>
        <v>0</v>
      </c>
      <c r="L26" s="6" t="n">
        <f aca="false">SUM($K$15:K26)</f>
        <v>3599.55</v>
      </c>
    </row>
    <row r="27" customFormat="false" ht="15" hidden="false" customHeight="false" outlineLevel="0" collapsed="false">
      <c r="B27" s="10" t="s">
        <v>45</v>
      </c>
      <c r="C27" s="6" t="n">
        <f aca="false">SUMIFS(Lancamentos!$L:$L,Lancamentos!$C:$C,$C$5,Lancamentos!$F:$F,$B27)</f>
        <v>0</v>
      </c>
      <c r="D27" s="11" t="n">
        <f aca="false">IF($C$8=0,0,C27/$C$8)</f>
        <v>0</v>
      </c>
      <c r="E27" s="6" t="n">
        <f aca="false">IFERROR(INDEX(Orcamento!$B:$B,MATCH($B27,Orcamento!$A:$A,0)),0)</f>
        <v>0</v>
      </c>
      <c r="F27" s="6" t="str">
        <f aca="false">IF(E27=0,"",E27-C27)</f>
        <v/>
      </c>
      <c r="H27" s="13" t="s">
        <v>46</v>
      </c>
      <c r="I27" s="14" t="n">
        <f aca="false">SUM(I15:I26)</f>
        <v>7500</v>
      </c>
      <c r="J27" s="14" t="n">
        <f aca="false">SUM(J15:J26)</f>
        <v>3900.45</v>
      </c>
      <c r="K27" s="14" t="n">
        <f aca="false">I27-J27</f>
        <v>3599.55</v>
      </c>
      <c r="L27" s="14" t="n">
        <f aca="false">L26</f>
        <v>3599.55</v>
      </c>
    </row>
    <row r="28" customFormat="false" ht="15" hidden="false" customHeight="false" outlineLevel="0" collapsed="false">
      <c r="B28" s="10" t="s">
        <v>47</v>
      </c>
      <c r="C28" s="6" t="n">
        <f aca="false">SUMIFS(Lancamentos!$L:$L,Lancamentos!$C:$C,$C$5,Lancamentos!$F:$F,$B28)</f>
        <v>0</v>
      </c>
      <c r="D28" s="11" t="n">
        <f aca="false">IF($C$8=0,0,C28/$C$8)</f>
        <v>0</v>
      </c>
      <c r="E28" s="6" t="n">
        <f aca="false">IFERROR(INDEX(Orcamento!$B:$B,MATCH($B28,Orcamento!$A:$A,0)),0)</f>
        <v>0</v>
      </c>
      <c r="F28" s="6" t="str">
        <f aca="false">IF(E28=0,"",E28-C28)</f>
        <v/>
      </c>
    </row>
    <row r="29" customFormat="false" ht="15" hidden="false" customHeight="false" outlineLevel="0" collapsed="false">
      <c r="B29" s="10" t="s">
        <v>48</v>
      </c>
      <c r="C29" s="6" t="n">
        <f aca="false">SUMIFS(Lancamentos!$L:$L,Lancamentos!$C:$C,$C$5,Lancamentos!$F:$F,$B29)</f>
        <v>0</v>
      </c>
      <c r="D29" s="11" t="n">
        <f aca="false">IF($C$8=0,0,C29/$C$8)</f>
        <v>0</v>
      </c>
      <c r="E29" s="6" t="n">
        <f aca="false">IFERROR(INDEX(Orcamento!$B:$B,MATCH($B29,Orcamento!$A:$A,0)),0)</f>
        <v>0</v>
      </c>
      <c r="F29" s="6" t="str">
        <f aca="false">IF(E29=0,"",E29-C29)</f>
        <v/>
      </c>
    </row>
    <row r="30" customFormat="false" ht="15" hidden="false" customHeight="false" outlineLevel="0" collapsed="false">
      <c r="B30" s="10" t="s">
        <v>49</v>
      </c>
      <c r="C30" s="6" t="n">
        <f aca="false">SUMIFS(Lancamentos!$L:$L,Lancamentos!$C:$C,$C$5,Lancamentos!$F:$F,$B30)</f>
        <v>0</v>
      </c>
      <c r="D30" s="11" t="n">
        <f aca="false">IF($C$8=0,0,C30/$C$8)</f>
        <v>0</v>
      </c>
      <c r="E30" s="6" t="n">
        <f aca="false">IFERROR(INDEX(Orcamento!$B:$B,MATCH($B30,Orcamento!$A:$A,0)),0)</f>
        <v>0</v>
      </c>
      <c r="F30" s="6" t="str">
        <f aca="false">IF(E30=0,"",E30-C30)</f>
        <v/>
      </c>
      <c r="H30" s="2" t="s">
        <v>50</v>
      </c>
    </row>
    <row r="31" customFormat="false" ht="15" hidden="false" customHeight="false" outlineLevel="0" collapsed="false">
      <c r="B31" s="10" t="s">
        <v>51</v>
      </c>
      <c r="C31" s="6" t="n">
        <f aca="false">SUMIFS(Lancamentos!$L:$L,Lancamentos!$C:$C,$C$5,Lancamentos!$F:$F,$B31)</f>
        <v>0</v>
      </c>
      <c r="D31" s="11" t="n">
        <f aca="false">IF($C$8=0,0,C31/$C$8)</f>
        <v>0</v>
      </c>
      <c r="E31" s="6" t="n">
        <f aca="false">IFERROR(INDEX(Orcamento!$B:$B,MATCH($B31,Orcamento!$A:$A,0)),0)</f>
        <v>0</v>
      </c>
      <c r="F31" s="6" t="str">
        <f aca="false">IF(E31=0,"",E31-C31)</f>
        <v/>
      </c>
    </row>
    <row r="32" customFormat="false" ht="15" hidden="false" customHeight="false" outlineLevel="0" collapsed="false">
      <c r="B32" s="10" t="s">
        <v>52</v>
      </c>
      <c r="C32" s="6" t="n">
        <f aca="false">SUMIFS(Lancamentos!$L:$L,Lancamentos!$C:$C,$C$5,Lancamentos!$F:$F,$B32)</f>
        <v>0</v>
      </c>
      <c r="D32" s="11" t="n">
        <f aca="false">IF($C$8=0,0,C32/$C$8)</f>
        <v>0</v>
      </c>
      <c r="E32" s="6" t="n">
        <f aca="false">IFERROR(INDEX(Orcamento!$B:$B,MATCH($B32,Orcamento!$A:$A,0)),0)</f>
        <v>0</v>
      </c>
      <c r="F32" s="6" t="str">
        <f aca="false">IF(E32=0,"",E32-C32)</f>
        <v/>
      </c>
    </row>
    <row r="33" customFormat="false" ht="15" hidden="false" customHeight="false" outlineLevel="0" collapsed="false">
      <c r="B33" s="10" t="s">
        <v>53</v>
      </c>
      <c r="C33" s="6" t="n">
        <f aca="false">SUMIFS(Lancamentos!$L:$L,Lancamentos!$C:$C,$C$5,Lancamentos!$F:$F,$B33)</f>
        <v>0</v>
      </c>
      <c r="D33" s="11" t="n">
        <f aca="false">IF($C$8=0,0,C33/$C$8)</f>
        <v>0</v>
      </c>
      <c r="E33" s="6" t="n">
        <f aca="false">IFERROR(INDEX(Orcamento!$B:$B,MATCH($B33,Orcamento!$A:$A,0)),0)</f>
        <v>0</v>
      </c>
      <c r="F33" s="6" t="str">
        <f aca="false">IF(E33=0,"",E33-C33)</f>
        <v/>
      </c>
    </row>
    <row r="34" customFormat="false" ht="15" hidden="false" customHeight="false" outlineLevel="0" collapsed="false">
      <c r="B34" s="10" t="s">
        <v>54</v>
      </c>
      <c r="C34" s="6" t="n">
        <f aca="false">SUMIFS(Lancamentos!$L:$L,Lancamentos!$C:$C,$C$5,Lancamentos!$F:$F,$B34)</f>
        <v>0</v>
      </c>
      <c r="D34" s="11" t="n">
        <f aca="false">IF($C$8=0,0,C34/$C$8)</f>
        <v>0</v>
      </c>
      <c r="E34" s="6" t="n">
        <f aca="false">IFERROR(INDEX(Orcamento!$B:$B,MATCH($B34,Orcamento!$A:$A,0)),0)</f>
        <v>0</v>
      </c>
      <c r="F34" s="6" t="str">
        <f aca="false">IF(E34=0,"",E34-C34)</f>
        <v/>
      </c>
    </row>
    <row r="35" customFormat="false" ht="15" hidden="false" customHeight="false" outlineLevel="0" collapsed="false">
      <c r="B35" s="10" t="s">
        <v>55</v>
      </c>
      <c r="C35" s="6" t="n">
        <f aca="false">SUMIFS(Lancamentos!$L:$L,Lancamentos!$C:$C,$C$5,Lancamentos!$F:$F,$B35)</f>
        <v>0</v>
      </c>
      <c r="D35" s="11" t="n">
        <f aca="false">IF($C$8=0,0,C35/$C$8)</f>
        <v>0</v>
      </c>
      <c r="E35" s="6" t="n">
        <f aca="false">IFERROR(INDEX(Orcamento!$B:$B,MATCH($B35,Orcamento!$A:$A,0)),0)</f>
        <v>0</v>
      </c>
      <c r="F35" s="6" t="str">
        <f aca="false">IF(E35=0,"",E35-C35)</f>
        <v/>
      </c>
    </row>
    <row r="36" customFormat="false" ht="15" hidden="false" customHeight="false" outlineLevel="0" collapsed="false">
      <c r="B36" s="10" t="s">
        <v>56</v>
      </c>
      <c r="C36" s="6" t="n">
        <f aca="false">SUMIFS(Lancamentos!$L:$L,Lancamentos!$C:$C,$C$5,Lancamentos!$F:$F,$B36)</f>
        <v>0</v>
      </c>
      <c r="D36" s="11" t="n">
        <f aca="false">IF($C$8=0,0,C36/$C$8)</f>
        <v>0</v>
      </c>
      <c r="E36" s="6" t="n">
        <f aca="false">IFERROR(INDEX(Orcamento!$B:$B,MATCH($B36,Orcamento!$A:$A,0)),0)</f>
        <v>0</v>
      </c>
      <c r="F36" s="6" t="str">
        <f aca="false">IF(E36=0,"",E36-C36)</f>
        <v/>
      </c>
    </row>
    <row r="37" customFormat="false" ht="15" hidden="false" customHeight="false" outlineLevel="0" collapsed="false">
      <c r="B37" s="10" t="s">
        <v>57</v>
      </c>
      <c r="C37" s="6" t="n">
        <f aca="false">SUMIFS(Lancamentos!$L:$L,Lancamentos!$C:$C,$C$5,Lancamentos!$F:$F,$B37)</f>
        <v>0</v>
      </c>
      <c r="D37" s="11" t="n">
        <f aca="false">IF($C$8=0,0,C37/$C$8)</f>
        <v>0</v>
      </c>
      <c r="E37" s="6" t="n">
        <f aca="false">IFERROR(INDEX(Orcamento!$B:$B,MATCH($B37,Orcamento!$A:$A,0)),0)</f>
        <v>0</v>
      </c>
      <c r="F37" s="6" t="str">
        <f aca="false">IF(E37=0,"",E37-C37)</f>
        <v/>
      </c>
    </row>
    <row r="38" customFormat="false" ht="15" hidden="false" customHeight="false" outlineLevel="0" collapsed="false">
      <c r="B38" s="13" t="s">
        <v>46</v>
      </c>
      <c r="C38" s="14" t="n">
        <f aca="false">SUM(C15:C37)</f>
        <v>3480.45</v>
      </c>
      <c r="D38" s="15" t="n">
        <f aca="false">IF($C$8=0,0,C38/$C$8)</f>
        <v>1</v>
      </c>
      <c r="E38" s="14" t="n">
        <f aca="false">SUM(E15:E37)</f>
        <v>0</v>
      </c>
      <c r="F38" s="14" t="n">
        <f aca="false">E38-C38</f>
        <v>-3480.45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3" activeCellId="0" sqref="J1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26"/>
  </cols>
  <sheetData>
    <row r="1" customFormat="false" ht="21.75" hidden="false" customHeight="true" outlineLevel="0" collapsed="false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62</v>
      </c>
      <c r="F1" s="16" t="s">
        <v>63</v>
      </c>
      <c r="G1" s="16" t="s">
        <v>64</v>
      </c>
      <c r="H1" s="16" t="s">
        <v>65</v>
      </c>
      <c r="I1" s="16" t="s">
        <v>66</v>
      </c>
      <c r="J1" s="16" t="s">
        <v>67</v>
      </c>
      <c r="K1" s="16" t="s">
        <v>68</v>
      </c>
      <c r="L1" s="16" t="s">
        <v>69</v>
      </c>
      <c r="M1" s="16" t="s">
        <v>70</v>
      </c>
      <c r="N1" s="16" t="s">
        <v>71</v>
      </c>
    </row>
    <row r="2" customFormat="false" ht="15" hidden="false" customHeight="false" outlineLevel="0" collapsed="false">
      <c r="A2" s="17" t="s">
        <v>72</v>
      </c>
      <c r="B2" s="18" t="s">
        <v>73</v>
      </c>
      <c r="C2" s="18" t="s">
        <v>3</v>
      </c>
      <c r="D2" s="18" t="s">
        <v>74</v>
      </c>
      <c r="E2" s="17" t="s">
        <v>75</v>
      </c>
      <c r="F2" s="17" t="s">
        <v>76</v>
      </c>
      <c r="G2" s="17" t="s">
        <v>77</v>
      </c>
      <c r="H2" s="17" t="s">
        <v>78</v>
      </c>
      <c r="I2" s="17"/>
      <c r="J2" s="18" t="n">
        <v>1</v>
      </c>
      <c r="K2" s="18" t="n">
        <v>1</v>
      </c>
      <c r="L2" s="19" t="n">
        <v>7500</v>
      </c>
      <c r="M2" s="18" t="s">
        <v>79</v>
      </c>
      <c r="N2" s="17" t="s">
        <v>80</v>
      </c>
    </row>
    <row r="3" customFormat="false" ht="15" hidden="false" customHeight="false" outlineLevel="0" collapsed="false">
      <c r="A3" s="17" t="s">
        <v>81</v>
      </c>
      <c r="B3" s="18" t="s">
        <v>82</v>
      </c>
      <c r="C3" s="18" t="s">
        <v>3</v>
      </c>
      <c r="D3" s="18" t="s">
        <v>83</v>
      </c>
      <c r="E3" s="17" t="s">
        <v>84</v>
      </c>
      <c r="F3" s="17" t="s">
        <v>22</v>
      </c>
      <c r="G3" s="17" t="s">
        <v>85</v>
      </c>
      <c r="H3" s="17" t="s">
        <v>86</v>
      </c>
      <c r="I3" s="17"/>
      <c r="J3" s="18" t="n">
        <v>1</v>
      </c>
      <c r="K3" s="18" t="n">
        <v>1</v>
      </c>
      <c r="L3" s="19" t="n">
        <v>2200</v>
      </c>
      <c r="M3" s="18" t="s">
        <v>79</v>
      </c>
      <c r="N3" s="17" t="s">
        <v>80</v>
      </c>
    </row>
    <row r="4" customFormat="false" ht="15" hidden="false" customHeight="false" outlineLevel="0" collapsed="false">
      <c r="A4" s="17" t="s">
        <v>87</v>
      </c>
      <c r="B4" s="18" t="s">
        <v>88</v>
      </c>
      <c r="C4" s="18" t="s">
        <v>3</v>
      </c>
      <c r="D4" s="18" t="s">
        <v>83</v>
      </c>
      <c r="E4" s="17" t="s">
        <v>89</v>
      </c>
      <c r="F4" s="17" t="s">
        <v>29</v>
      </c>
      <c r="G4" s="17" t="s">
        <v>90</v>
      </c>
      <c r="H4" s="17" t="s">
        <v>91</v>
      </c>
      <c r="I4" s="17" t="s">
        <v>92</v>
      </c>
      <c r="J4" s="18" t="n">
        <v>1</v>
      </c>
      <c r="K4" s="18" t="n">
        <v>1</v>
      </c>
      <c r="L4" s="19" t="n">
        <v>860.45</v>
      </c>
      <c r="M4" s="18" t="s">
        <v>93</v>
      </c>
      <c r="N4" s="17" t="s">
        <v>80</v>
      </c>
    </row>
    <row r="5" customFormat="false" ht="15" hidden="false" customHeight="false" outlineLevel="0" collapsed="false">
      <c r="A5" s="17" t="s">
        <v>94</v>
      </c>
      <c r="B5" s="18" t="s">
        <v>95</v>
      </c>
      <c r="C5" s="18" t="s">
        <v>3</v>
      </c>
      <c r="D5" s="18" t="s">
        <v>83</v>
      </c>
      <c r="E5" s="17" t="s">
        <v>96</v>
      </c>
      <c r="F5" s="17" t="s">
        <v>27</v>
      </c>
      <c r="G5" s="17" t="s">
        <v>85</v>
      </c>
      <c r="H5" s="17" t="s">
        <v>91</v>
      </c>
      <c r="I5" s="17" t="s">
        <v>97</v>
      </c>
      <c r="J5" s="18" t="n">
        <v>1</v>
      </c>
      <c r="K5" s="18" t="n">
        <v>10</v>
      </c>
      <c r="L5" s="19" t="n">
        <v>420</v>
      </c>
      <c r="M5" s="18" t="s">
        <v>93</v>
      </c>
      <c r="N5" s="17" t="s">
        <v>98</v>
      </c>
    </row>
    <row r="6" customFormat="false" ht="15" hidden="false" customHeight="false" outlineLevel="0" collapsed="false">
      <c r="A6" s="17" t="s">
        <v>99</v>
      </c>
      <c r="B6" s="18" t="s">
        <v>95</v>
      </c>
      <c r="C6" s="18" t="s">
        <v>24</v>
      </c>
      <c r="D6" s="18" t="s">
        <v>83</v>
      </c>
      <c r="E6" s="17" t="s">
        <v>100</v>
      </c>
      <c r="F6" s="17" t="s">
        <v>27</v>
      </c>
      <c r="G6" s="17" t="s">
        <v>85</v>
      </c>
      <c r="H6" s="17" t="s">
        <v>91</v>
      </c>
      <c r="I6" s="17" t="s">
        <v>97</v>
      </c>
      <c r="J6" s="18" t="n">
        <v>2</v>
      </c>
      <c r="K6" s="18" t="n">
        <v>10</v>
      </c>
      <c r="L6" s="19" t="n">
        <v>420</v>
      </c>
      <c r="M6" s="18" t="s">
        <v>93</v>
      </c>
      <c r="N6" s="17" t="s">
        <v>101</v>
      </c>
    </row>
  </sheetData>
  <dataValidations count="3">
    <dataValidation allowBlank="true" errorStyle="stop" operator="between" showDropDown="false" showErrorMessage="false" showInputMessage="false" sqref="D2:D1006" type="list">
      <formula1>"Entrada,Saída"</formula1>
      <formula2>0</formula2>
    </dataValidation>
    <dataValidation allowBlank="true" errorStyle="stop" operator="between" showDropDown="false" showErrorMessage="false" showInputMessage="false" sqref="H2:H1006" type="list">
      <formula1>"Dinheiro,Débito,Pix,Boleto,Crédito,Transferência"</formula1>
      <formula2>0</formula2>
    </dataValidation>
    <dataValidation allowBlank="true" errorStyle="stop" operator="between" showDropDown="false" showErrorMessage="false" showInputMessage="false" sqref="M2:M1006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20" t="s">
        <v>63</v>
      </c>
      <c r="B1" s="20" t="s">
        <v>64</v>
      </c>
      <c r="C1" s="20" t="s">
        <v>61</v>
      </c>
      <c r="D1" s="20" t="s">
        <v>102</v>
      </c>
    </row>
    <row r="2" customFormat="false" ht="15" hidden="false" customHeight="false" outlineLevel="0" collapsed="false">
      <c r="A2" s="10" t="s">
        <v>22</v>
      </c>
      <c r="B2" s="12" t="s">
        <v>85</v>
      </c>
      <c r="C2" s="12" t="s">
        <v>83</v>
      </c>
      <c r="D2" s="12" t="s">
        <v>79</v>
      </c>
    </row>
    <row r="3" customFormat="false" ht="15" hidden="false" customHeight="false" outlineLevel="0" collapsed="false">
      <c r="A3" s="10" t="s">
        <v>23</v>
      </c>
      <c r="B3" s="12" t="s">
        <v>85</v>
      </c>
      <c r="C3" s="12" t="s">
        <v>83</v>
      </c>
      <c r="D3" s="12" t="s">
        <v>79</v>
      </c>
    </row>
    <row r="4" customFormat="false" ht="15" hidden="false" customHeight="false" outlineLevel="0" collapsed="false">
      <c r="A4" s="10" t="s">
        <v>25</v>
      </c>
      <c r="B4" s="12" t="s">
        <v>85</v>
      </c>
      <c r="C4" s="12" t="s">
        <v>83</v>
      </c>
      <c r="D4" s="12" t="s">
        <v>79</v>
      </c>
    </row>
    <row r="5" customFormat="false" ht="15" hidden="false" customHeight="false" outlineLevel="0" collapsed="false">
      <c r="A5" s="10" t="s">
        <v>27</v>
      </c>
      <c r="B5" s="12" t="s">
        <v>85</v>
      </c>
      <c r="C5" s="12" t="s">
        <v>83</v>
      </c>
      <c r="D5" s="12" t="s">
        <v>93</v>
      </c>
    </row>
    <row r="6" customFormat="false" ht="15" hidden="false" customHeight="false" outlineLevel="0" collapsed="false">
      <c r="A6" s="10" t="s">
        <v>29</v>
      </c>
      <c r="B6" s="12" t="s">
        <v>90</v>
      </c>
      <c r="C6" s="12" t="s">
        <v>83</v>
      </c>
      <c r="D6" s="12" t="s">
        <v>79</v>
      </c>
    </row>
    <row r="7" customFormat="false" ht="15" hidden="false" customHeight="false" outlineLevel="0" collapsed="false">
      <c r="A7" s="10" t="s">
        <v>31</v>
      </c>
      <c r="B7" s="12" t="s">
        <v>90</v>
      </c>
      <c r="C7" s="12" t="s">
        <v>83</v>
      </c>
      <c r="D7" s="12" t="s">
        <v>93</v>
      </c>
    </row>
    <row r="8" customFormat="false" ht="15" hidden="false" customHeight="false" outlineLevel="0" collapsed="false">
      <c r="A8" s="10" t="s">
        <v>33</v>
      </c>
      <c r="B8" s="12" t="s">
        <v>103</v>
      </c>
      <c r="C8" s="12" t="s">
        <v>83</v>
      </c>
      <c r="D8" s="12" t="s">
        <v>79</v>
      </c>
    </row>
    <row r="9" customFormat="false" ht="15" hidden="false" customHeight="false" outlineLevel="0" collapsed="false">
      <c r="A9" s="10" t="s">
        <v>35</v>
      </c>
      <c r="B9" s="12" t="s">
        <v>103</v>
      </c>
      <c r="C9" s="12" t="s">
        <v>83</v>
      </c>
      <c r="D9" s="12" t="s">
        <v>93</v>
      </c>
    </row>
    <row r="10" customFormat="false" ht="15" hidden="false" customHeight="false" outlineLevel="0" collapsed="false">
      <c r="A10" s="10" t="s">
        <v>37</v>
      </c>
      <c r="B10" s="12" t="s">
        <v>103</v>
      </c>
      <c r="C10" s="12" t="s">
        <v>83</v>
      </c>
      <c r="D10" s="12" t="s">
        <v>79</v>
      </c>
    </row>
    <row r="11" customFormat="false" ht="15" hidden="false" customHeight="false" outlineLevel="0" collapsed="false">
      <c r="A11" s="10" t="s">
        <v>39</v>
      </c>
      <c r="B11" s="12" t="s">
        <v>104</v>
      </c>
      <c r="C11" s="12" t="s">
        <v>83</v>
      </c>
      <c r="D11" s="12" t="s">
        <v>79</v>
      </c>
    </row>
    <row r="12" customFormat="false" ht="15" hidden="false" customHeight="false" outlineLevel="0" collapsed="false">
      <c r="A12" s="10" t="s">
        <v>41</v>
      </c>
      <c r="B12" s="12" t="s">
        <v>104</v>
      </c>
      <c r="C12" s="12" t="s">
        <v>83</v>
      </c>
      <c r="D12" s="12" t="s">
        <v>79</v>
      </c>
    </row>
    <row r="13" customFormat="false" ht="15" hidden="false" customHeight="false" outlineLevel="0" collapsed="false">
      <c r="A13" s="10" t="s">
        <v>43</v>
      </c>
      <c r="B13" s="12" t="s">
        <v>43</v>
      </c>
      <c r="C13" s="12" t="s">
        <v>83</v>
      </c>
      <c r="D13" s="12" t="s">
        <v>79</v>
      </c>
    </row>
    <row r="14" customFormat="false" ht="15" hidden="false" customHeight="false" outlineLevel="0" collapsed="false">
      <c r="A14" s="10" t="s">
        <v>45</v>
      </c>
      <c r="B14" s="12" t="s">
        <v>105</v>
      </c>
      <c r="C14" s="12" t="s">
        <v>83</v>
      </c>
      <c r="D14" s="12" t="s">
        <v>93</v>
      </c>
    </row>
    <row r="15" customFormat="false" ht="15" hidden="false" customHeight="false" outlineLevel="0" collapsed="false">
      <c r="A15" s="10" t="s">
        <v>47</v>
      </c>
      <c r="B15" s="12" t="s">
        <v>105</v>
      </c>
      <c r="C15" s="12" t="s">
        <v>83</v>
      </c>
      <c r="D15" s="12" t="s">
        <v>93</v>
      </c>
    </row>
    <row r="16" customFormat="false" ht="15" hidden="false" customHeight="false" outlineLevel="0" collapsed="false">
      <c r="A16" s="10" t="s">
        <v>48</v>
      </c>
      <c r="B16" s="12" t="s">
        <v>105</v>
      </c>
      <c r="C16" s="12" t="s">
        <v>83</v>
      </c>
      <c r="D16" s="12" t="s">
        <v>93</v>
      </c>
    </row>
    <row r="17" customFormat="false" ht="15" hidden="false" customHeight="false" outlineLevel="0" collapsed="false">
      <c r="A17" s="10" t="s">
        <v>49</v>
      </c>
      <c r="B17" s="12" t="s">
        <v>105</v>
      </c>
      <c r="C17" s="12" t="s">
        <v>83</v>
      </c>
      <c r="D17" s="12" t="s">
        <v>93</v>
      </c>
    </row>
    <row r="18" customFormat="false" ht="15" hidden="false" customHeight="false" outlineLevel="0" collapsed="false">
      <c r="A18" s="10" t="s">
        <v>51</v>
      </c>
      <c r="B18" s="12" t="s">
        <v>105</v>
      </c>
      <c r="C18" s="12" t="s">
        <v>83</v>
      </c>
      <c r="D18" s="12" t="s">
        <v>93</v>
      </c>
    </row>
    <row r="19" customFormat="false" ht="15" hidden="false" customHeight="false" outlineLevel="0" collapsed="false">
      <c r="A19" s="10" t="s">
        <v>52</v>
      </c>
      <c r="B19" s="12" t="s">
        <v>105</v>
      </c>
      <c r="C19" s="12" t="s">
        <v>83</v>
      </c>
      <c r="D19" s="12" t="s">
        <v>93</v>
      </c>
    </row>
    <row r="20" customFormat="false" ht="15" hidden="false" customHeight="false" outlineLevel="0" collapsed="false">
      <c r="A20" s="10" t="s">
        <v>53</v>
      </c>
      <c r="B20" s="12" t="s">
        <v>106</v>
      </c>
      <c r="C20" s="12" t="s">
        <v>83</v>
      </c>
      <c r="D20" s="12" t="s">
        <v>79</v>
      </c>
    </row>
    <row r="21" customFormat="false" ht="15" hidden="false" customHeight="false" outlineLevel="0" collapsed="false">
      <c r="A21" s="10" t="s">
        <v>54</v>
      </c>
      <c r="B21" s="12" t="s">
        <v>106</v>
      </c>
      <c r="C21" s="12" t="s">
        <v>83</v>
      </c>
      <c r="D21" s="12" t="s">
        <v>79</v>
      </c>
    </row>
    <row r="22" customFormat="false" ht="15" hidden="false" customHeight="false" outlineLevel="0" collapsed="false">
      <c r="A22" s="10" t="s">
        <v>55</v>
      </c>
      <c r="B22" s="12" t="s">
        <v>106</v>
      </c>
      <c r="C22" s="12" t="s">
        <v>83</v>
      </c>
      <c r="D22" s="12" t="s">
        <v>79</v>
      </c>
    </row>
    <row r="23" customFormat="false" ht="15" hidden="false" customHeight="false" outlineLevel="0" collapsed="false">
      <c r="A23" s="10" t="s">
        <v>56</v>
      </c>
      <c r="B23" s="12" t="s">
        <v>106</v>
      </c>
      <c r="C23" s="12" t="s">
        <v>83</v>
      </c>
      <c r="D23" s="12" t="s">
        <v>93</v>
      </c>
    </row>
    <row r="24" customFormat="false" ht="15" hidden="false" customHeight="false" outlineLevel="0" collapsed="false">
      <c r="A24" s="10" t="s">
        <v>57</v>
      </c>
      <c r="B24" s="12" t="s">
        <v>57</v>
      </c>
      <c r="C24" s="12" t="s">
        <v>83</v>
      </c>
      <c r="D24" s="12" t="s">
        <v>93</v>
      </c>
    </row>
    <row r="25" customFormat="false" ht="15" hidden="false" customHeight="false" outlineLevel="0" collapsed="false">
      <c r="A25" s="10" t="s">
        <v>76</v>
      </c>
      <c r="B25" s="12" t="s">
        <v>77</v>
      </c>
      <c r="C25" s="12" t="s">
        <v>74</v>
      </c>
      <c r="D25" s="12" t="s">
        <v>107</v>
      </c>
    </row>
    <row r="26" customFormat="false" ht="15" hidden="false" customHeight="false" outlineLevel="0" collapsed="false">
      <c r="A26" s="10" t="s">
        <v>108</v>
      </c>
      <c r="B26" s="12" t="s">
        <v>77</v>
      </c>
      <c r="C26" s="12" t="s">
        <v>74</v>
      </c>
      <c r="D26" s="12" t="s">
        <v>107</v>
      </c>
    </row>
    <row r="27" customFormat="false" ht="15" hidden="false" customHeight="false" outlineLevel="0" collapsed="false">
      <c r="A27" s="10" t="s">
        <v>109</v>
      </c>
      <c r="B27" s="12" t="s">
        <v>77</v>
      </c>
      <c r="C27" s="12" t="s">
        <v>74</v>
      </c>
      <c r="D27" s="12" t="s">
        <v>107</v>
      </c>
    </row>
    <row r="28" customFormat="false" ht="15" hidden="false" customHeight="false" outlineLevel="0" collapsed="false">
      <c r="A28" s="10" t="s">
        <v>110</v>
      </c>
      <c r="B28" s="12" t="s">
        <v>77</v>
      </c>
      <c r="C28" s="12" t="s">
        <v>74</v>
      </c>
      <c r="D28" s="1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" activeCellId="0" sqref="E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0" t="s">
        <v>66</v>
      </c>
      <c r="B1" s="20" t="s">
        <v>111</v>
      </c>
      <c r="C1" s="20" t="s">
        <v>112</v>
      </c>
      <c r="D1" s="20" t="s">
        <v>113</v>
      </c>
      <c r="E1" s="20" t="s">
        <v>114</v>
      </c>
    </row>
    <row r="2" customFormat="false" ht="15" hidden="false" customHeight="false" outlineLevel="0" collapsed="false">
      <c r="A2" s="10" t="s">
        <v>92</v>
      </c>
      <c r="B2" s="12" t="s">
        <v>115</v>
      </c>
      <c r="C2" s="12" t="n">
        <v>3</v>
      </c>
      <c r="D2" s="12" t="n">
        <v>10</v>
      </c>
      <c r="E2" s="21" t="n">
        <v>0</v>
      </c>
    </row>
    <row r="3" customFormat="false" ht="15" hidden="false" customHeight="false" outlineLevel="0" collapsed="false">
      <c r="A3" s="10" t="s">
        <v>97</v>
      </c>
      <c r="B3" s="12" t="s">
        <v>115</v>
      </c>
      <c r="C3" s="12" t="n">
        <v>8</v>
      </c>
      <c r="D3" s="12" t="n">
        <v>12</v>
      </c>
      <c r="E3" s="21" t="n">
        <v>0</v>
      </c>
    </row>
    <row r="4" customFormat="false" ht="15" hidden="false" customHeight="false" outlineLevel="0" collapsed="false">
      <c r="A4" s="10" t="s">
        <v>116</v>
      </c>
      <c r="B4" s="12" t="s">
        <v>117</v>
      </c>
      <c r="C4" s="12" t="n">
        <v>20</v>
      </c>
      <c r="D4" s="12" t="n">
        <v>24</v>
      </c>
      <c r="E4" s="2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0" activeCellId="0" sqref="F2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20" t="s">
        <v>63</v>
      </c>
      <c r="B1" s="20" t="s">
        <v>118</v>
      </c>
    </row>
    <row r="2" customFormat="false" ht="15" hidden="false" customHeight="false" outlineLevel="0" collapsed="false">
      <c r="A2" s="10" t="s">
        <v>22</v>
      </c>
      <c r="B2" s="22" t="n">
        <v>0</v>
      </c>
    </row>
    <row r="3" customFormat="false" ht="15" hidden="false" customHeight="false" outlineLevel="0" collapsed="false">
      <c r="A3" s="10" t="s">
        <v>23</v>
      </c>
      <c r="B3" s="22" t="n">
        <v>0</v>
      </c>
    </row>
    <row r="4" customFormat="false" ht="15" hidden="false" customHeight="false" outlineLevel="0" collapsed="false">
      <c r="A4" s="10" t="s">
        <v>25</v>
      </c>
      <c r="B4" s="22" t="n">
        <v>0</v>
      </c>
    </row>
    <row r="5" customFormat="false" ht="15" hidden="false" customHeight="false" outlineLevel="0" collapsed="false">
      <c r="A5" s="10" t="s">
        <v>27</v>
      </c>
      <c r="B5" s="22" t="n">
        <v>0</v>
      </c>
    </row>
    <row r="6" customFormat="false" ht="15" hidden="false" customHeight="false" outlineLevel="0" collapsed="false">
      <c r="A6" s="10" t="s">
        <v>29</v>
      </c>
      <c r="B6" s="22" t="n">
        <v>0</v>
      </c>
    </row>
    <row r="7" customFormat="false" ht="15" hidden="false" customHeight="false" outlineLevel="0" collapsed="false">
      <c r="A7" s="10" t="s">
        <v>31</v>
      </c>
      <c r="B7" s="22" t="n">
        <v>0</v>
      </c>
    </row>
    <row r="8" customFormat="false" ht="15" hidden="false" customHeight="false" outlineLevel="0" collapsed="false">
      <c r="A8" s="10" t="s">
        <v>33</v>
      </c>
      <c r="B8" s="22" t="n">
        <v>0</v>
      </c>
    </row>
    <row r="9" customFormat="false" ht="15" hidden="false" customHeight="false" outlineLevel="0" collapsed="false">
      <c r="A9" s="10" t="s">
        <v>35</v>
      </c>
      <c r="B9" s="22" t="n">
        <v>0</v>
      </c>
    </row>
    <row r="10" customFormat="false" ht="15" hidden="false" customHeight="false" outlineLevel="0" collapsed="false">
      <c r="A10" s="10" t="s">
        <v>37</v>
      </c>
      <c r="B10" s="22" t="n">
        <v>0</v>
      </c>
    </row>
    <row r="11" customFormat="false" ht="15" hidden="false" customHeight="false" outlineLevel="0" collapsed="false">
      <c r="A11" s="10" t="s">
        <v>39</v>
      </c>
      <c r="B11" s="22" t="n">
        <v>0</v>
      </c>
    </row>
    <row r="12" customFormat="false" ht="15" hidden="false" customHeight="false" outlineLevel="0" collapsed="false">
      <c r="A12" s="10" t="s">
        <v>41</v>
      </c>
      <c r="B12" s="22" t="n">
        <v>0</v>
      </c>
    </row>
    <row r="13" customFormat="false" ht="15" hidden="false" customHeight="false" outlineLevel="0" collapsed="false">
      <c r="A13" s="10" t="s">
        <v>43</v>
      </c>
      <c r="B13" s="22" t="n">
        <v>0</v>
      </c>
    </row>
    <row r="14" customFormat="false" ht="15" hidden="false" customHeight="false" outlineLevel="0" collapsed="false">
      <c r="A14" s="10" t="s">
        <v>45</v>
      </c>
      <c r="B14" s="22" t="n">
        <v>0</v>
      </c>
    </row>
    <row r="15" customFormat="false" ht="15" hidden="false" customHeight="false" outlineLevel="0" collapsed="false">
      <c r="A15" s="10" t="s">
        <v>47</v>
      </c>
      <c r="B15" s="22" t="n">
        <v>0</v>
      </c>
    </row>
    <row r="16" customFormat="false" ht="15" hidden="false" customHeight="false" outlineLevel="0" collapsed="false">
      <c r="A16" s="10" t="s">
        <v>48</v>
      </c>
      <c r="B16" s="22" t="n">
        <v>0</v>
      </c>
    </row>
    <row r="17" customFormat="false" ht="15" hidden="false" customHeight="false" outlineLevel="0" collapsed="false">
      <c r="A17" s="10" t="s">
        <v>49</v>
      </c>
      <c r="B17" s="22" t="n">
        <v>0</v>
      </c>
    </row>
    <row r="18" customFormat="false" ht="15" hidden="false" customHeight="false" outlineLevel="0" collapsed="false">
      <c r="A18" s="10" t="s">
        <v>51</v>
      </c>
      <c r="B18" s="22" t="n">
        <v>0</v>
      </c>
    </row>
    <row r="19" customFormat="false" ht="15" hidden="false" customHeight="false" outlineLevel="0" collapsed="false">
      <c r="A19" s="10" t="s">
        <v>52</v>
      </c>
      <c r="B19" s="22" t="n">
        <v>0</v>
      </c>
    </row>
    <row r="20" customFormat="false" ht="15" hidden="false" customHeight="false" outlineLevel="0" collapsed="false">
      <c r="A20" s="10" t="s">
        <v>53</v>
      </c>
      <c r="B20" s="22" t="n">
        <v>0</v>
      </c>
    </row>
    <row r="21" customFormat="false" ht="15" hidden="false" customHeight="false" outlineLevel="0" collapsed="false">
      <c r="A21" s="10" t="s">
        <v>54</v>
      </c>
      <c r="B21" s="22" t="n">
        <v>0</v>
      </c>
    </row>
    <row r="22" customFormat="false" ht="15" hidden="false" customHeight="false" outlineLevel="0" collapsed="false">
      <c r="A22" s="10" t="s">
        <v>55</v>
      </c>
      <c r="B22" s="22" t="n">
        <v>0</v>
      </c>
    </row>
    <row r="23" customFormat="false" ht="15" hidden="false" customHeight="false" outlineLevel="0" collapsed="false">
      <c r="A23" s="10" t="s">
        <v>56</v>
      </c>
      <c r="B23" s="22" t="n">
        <v>0</v>
      </c>
    </row>
    <row r="24" customFormat="false" ht="15" hidden="false" customHeight="false" outlineLevel="0" collapsed="false">
      <c r="A24" s="10" t="s">
        <v>57</v>
      </c>
      <c r="B24" s="22" t="n">
        <v>0</v>
      </c>
    </row>
    <row r="26" customFormat="false" ht="15" hidden="false" customHeight="false" outlineLevel="0" collapsed="false">
      <c r="A26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7" activeCellId="0" sqref="B3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2" min="2" style="0" width="118"/>
  </cols>
  <sheetData>
    <row r="2" customFormat="false" ht="20.25" hidden="false" customHeight="true" outlineLevel="0" collapsed="false">
      <c r="B2" s="1" t="s">
        <v>120</v>
      </c>
    </row>
    <row r="3" customFormat="false" ht="15" hidden="false" customHeight="false" outlineLevel="0" collapsed="false">
      <c r="B3" s="23"/>
    </row>
    <row r="4" customFormat="false" ht="15" hidden="false" customHeight="false" outlineLevel="0" collapsed="false">
      <c r="B4" s="23" t="s">
        <v>121</v>
      </c>
    </row>
    <row r="5" customFormat="false" ht="15" hidden="false" customHeight="false" outlineLevel="0" collapsed="false">
      <c r="B5" s="23" t="s">
        <v>122</v>
      </c>
    </row>
    <row r="6" customFormat="false" ht="15" hidden="false" customHeight="false" outlineLevel="0" collapsed="false">
      <c r="B6" s="23"/>
    </row>
    <row r="7" customFormat="false" ht="15" hidden="false" customHeight="false" outlineLevel="0" collapsed="false">
      <c r="B7" s="24" t="s">
        <v>123</v>
      </c>
    </row>
    <row r="8" customFormat="false" ht="15" hidden="false" customHeight="false" outlineLevel="0" collapsed="false">
      <c r="B8" s="23" t="s">
        <v>124</v>
      </c>
    </row>
    <row r="9" customFormat="false" ht="15" hidden="false" customHeight="false" outlineLevel="0" collapsed="false">
      <c r="B9" s="23" t="s">
        <v>125</v>
      </c>
    </row>
    <row r="10" customFormat="false" ht="15" hidden="false" customHeight="false" outlineLevel="0" collapsed="false">
      <c r="B10" s="23" t="s">
        <v>126</v>
      </c>
    </row>
    <row r="11" customFormat="false" ht="15" hidden="false" customHeight="false" outlineLevel="0" collapsed="false">
      <c r="B11" s="23" t="s">
        <v>127</v>
      </c>
    </row>
    <row r="12" customFormat="false" ht="15" hidden="false" customHeight="false" outlineLevel="0" collapsed="false">
      <c r="B12" s="23" t="s">
        <v>128</v>
      </c>
    </row>
    <row r="13" customFormat="false" ht="15" hidden="false" customHeight="false" outlineLevel="0" collapsed="false">
      <c r="B13" s="23" t="s">
        <v>129</v>
      </c>
    </row>
    <row r="14" customFormat="false" ht="15" hidden="false" customHeight="false" outlineLevel="0" collapsed="false">
      <c r="B14" s="23" t="s">
        <v>130</v>
      </c>
    </row>
    <row r="15" customFormat="false" ht="15" hidden="false" customHeight="false" outlineLevel="0" collapsed="false">
      <c r="B15" s="23" t="s">
        <v>131</v>
      </c>
    </row>
    <row r="16" customFormat="false" ht="15" hidden="false" customHeight="false" outlineLevel="0" collapsed="false">
      <c r="B16" s="23" t="s">
        <v>132</v>
      </c>
    </row>
    <row r="17" customFormat="false" ht="15" hidden="false" customHeight="false" outlineLevel="0" collapsed="false">
      <c r="B17" s="23" t="s">
        <v>133</v>
      </c>
    </row>
    <row r="18" customFormat="false" ht="15" hidden="false" customHeight="false" outlineLevel="0" collapsed="false">
      <c r="B18" s="23" t="s">
        <v>134</v>
      </c>
    </row>
    <row r="19" customFormat="false" ht="15" hidden="false" customHeight="false" outlineLevel="0" collapsed="false">
      <c r="B19" s="23" t="s">
        <v>135</v>
      </c>
    </row>
    <row r="20" customFormat="false" ht="15" hidden="false" customHeight="false" outlineLevel="0" collapsed="false">
      <c r="B20" s="23" t="s">
        <v>136</v>
      </c>
    </row>
    <row r="21" customFormat="false" ht="15" hidden="false" customHeight="false" outlineLevel="0" collapsed="false">
      <c r="B21" s="23"/>
    </row>
    <row r="22" customFormat="false" ht="15" hidden="false" customHeight="false" outlineLevel="0" collapsed="false">
      <c r="B22" s="24" t="s">
        <v>137</v>
      </c>
    </row>
    <row r="23" customFormat="false" ht="15" hidden="false" customHeight="false" outlineLevel="0" collapsed="false">
      <c r="B23" s="23" t="s">
        <v>138</v>
      </c>
    </row>
    <row r="24" customFormat="false" ht="15" hidden="false" customHeight="false" outlineLevel="0" collapsed="false">
      <c r="B24" s="23" t="s">
        <v>139</v>
      </c>
    </row>
    <row r="25" customFormat="false" ht="15" hidden="false" customHeight="false" outlineLevel="0" collapsed="false">
      <c r="B25" s="23" t="s">
        <v>140</v>
      </c>
    </row>
    <row r="26" customFormat="false" ht="15" hidden="false" customHeight="false" outlineLevel="0" collapsed="false">
      <c r="B26" s="23" t="s">
        <v>141</v>
      </c>
    </row>
    <row r="27" customFormat="false" ht="15" hidden="false" customHeight="false" outlineLevel="0" collapsed="false">
      <c r="B27" s="23" t="s">
        <v>142</v>
      </c>
    </row>
    <row r="28" customFormat="false" ht="15" hidden="false" customHeight="false" outlineLevel="0" collapsed="false">
      <c r="B28" s="23" t="s">
        <v>143</v>
      </c>
    </row>
    <row r="29" customFormat="false" ht="15" hidden="false" customHeight="false" outlineLevel="0" collapsed="false">
      <c r="B29" s="23"/>
    </row>
    <row r="30" customFormat="false" ht="15" hidden="false" customHeight="false" outlineLevel="0" collapsed="false">
      <c r="B30" s="24" t="s">
        <v>144</v>
      </c>
    </row>
    <row r="31" customFormat="false" ht="15" hidden="false" customHeight="false" outlineLevel="0" collapsed="false">
      <c r="B31" s="23" t="s">
        <v>145</v>
      </c>
    </row>
    <row r="32" customFormat="false" ht="15" hidden="false" customHeight="false" outlineLevel="0" collapsed="false">
      <c r="B32" s="23" t="s">
        <v>146</v>
      </c>
    </row>
    <row r="33" customFormat="false" ht="15" hidden="false" customHeight="false" outlineLevel="0" collapsed="false">
      <c r="B33" s="23" t="s">
        <v>147</v>
      </c>
    </row>
    <row r="36" customFormat="false" ht="15" hidden="false" customHeight="false" outlineLevel="0" collapsed="false">
      <c r="B36" s="24" t="s">
        <v>148</v>
      </c>
    </row>
    <row r="37" customFormat="false" ht="15" hidden="false" customHeight="false" outlineLevel="0" collapsed="false">
      <c r="B37" s="23"/>
    </row>
    <row r="38" customFormat="false" ht="15" hidden="false" customHeight="false" outlineLevel="0" collapsed="false">
      <c r="B38" s="23" t="s">
        <v>149</v>
      </c>
    </row>
    <row r="39" customFormat="false" ht="15" hidden="false" customHeight="false" outlineLevel="0" collapsed="false">
      <c r="B39" s="23"/>
    </row>
    <row r="40" customFormat="false" ht="15" hidden="false" customHeight="false" outlineLevel="0" collapsed="false">
      <c r="B40" s="23" t="s">
        <v>150</v>
      </c>
    </row>
    <row r="41" customFormat="false" ht="15" hidden="false" customHeight="false" outlineLevel="0" collapsed="false">
      <c r="B41" s="23" t="s">
        <v>151</v>
      </c>
    </row>
    <row r="42" customFormat="false" ht="15" hidden="false" customHeight="false" outlineLevel="0" collapsed="false">
      <c r="B42" s="23"/>
    </row>
    <row r="43" customFormat="false" ht="15" hidden="false" customHeight="false" outlineLevel="0" collapsed="false">
      <c r="B43" s="23" t="s">
        <v>152</v>
      </c>
    </row>
    <row r="44" customFormat="false" ht="15" hidden="false" customHeight="false" outlineLevel="0" collapsed="false">
      <c r="B44" s="23" t="s">
        <v>153</v>
      </c>
    </row>
    <row r="45" customFormat="false" ht="15" hidden="false" customHeight="false" outlineLevel="0" collapsed="false">
      <c r="B45" s="23"/>
    </row>
    <row r="46" customFormat="false" ht="15" hidden="false" customHeight="false" outlineLevel="0" collapsed="false">
      <c r="B46" s="23" t="s">
        <v>154</v>
      </c>
    </row>
    <row r="47" customFormat="false" ht="15" hidden="false" customHeight="false" outlineLevel="0" collapsed="false">
      <c r="B47" s="23"/>
    </row>
    <row r="48" customFormat="false" ht="15" hidden="false" customHeight="false" outlineLevel="0" collapsed="false">
      <c r="B48" s="23" t="s">
        <v>155</v>
      </c>
    </row>
    <row r="49" customFormat="false" ht="15" hidden="false" customHeight="false" outlineLevel="0" collapsed="false">
      <c r="B49" s="23" t="s">
        <v>156</v>
      </c>
    </row>
    <row r="50" customFormat="false" ht="15" hidden="false" customHeight="false" outlineLevel="0" collapsed="false">
      <c r="B50" s="23" t="s">
        <v>157</v>
      </c>
    </row>
    <row r="51" customFormat="false" ht="15" hidden="false" customHeight="false" outlineLevel="0" collapsed="false">
      <c r="B51" s="23"/>
    </row>
    <row r="52" customFormat="false" ht="15" hidden="false" customHeight="false" outlineLevel="0" collapsed="false">
      <c r="B52" s="24" t="s">
        <v>158</v>
      </c>
    </row>
    <row r="53" customFormat="false" ht="15" hidden="false" customHeight="false" outlineLevel="0" collapsed="false">
      <c r="B53" s="23" t="s">
        <v>159</v>
      </c>
    </row>
    <row r="54" customFormat="false" ht="15" hidden="false" customHeight="false" outlineLevel="0" collapsed="false">
      <c r="B54" s="23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25" t="s">
        <v>161</v>
      </c>
      <c r="B1" s="25" t="s">
        <v>162</v>
      </c>
      <c r="C1" s="25" t="s">
        <v>163</v>
      </c>
      <c r="D1" s="25" t="s">
        <v>164</v>
      </c>
      <c r="E1" s="25" t="s">
        <v>165</v>
      </c>
      <c r="F1" s="25" t="s">
        <v>166</v>
      </c>
      <c r="G1" s="25" t="s">
        <v>167</v>
      </c>
      <c r="H1" s="25" t="s">
        <v>168</v>
      </c>
    </row>
    <row r="2" customFormat="false" ht="15" hidden="false" customHeight="false" outlineLevel="0" collapsed="false">
      <c r="A2" s="17" t="s">
        <v>169</v>
      </c>
      <c r="B2" s="17" t="s">
        <v>170</v>
      </c>
      <c r="C2" s="18" t="s">
        <v>171</v>
      </c>
      <c r="D2" s="18" t="n">
        <v>102</v>
      </c>
      <c r="E2" s="17" t="s">
        <v>172</v>
      </c>
      <c r="F2" s="18"/>
      <c r="G2" s="18" t="s">
        <v>173</v>
      </c>
      <c r="H2" s="18" t="s">
        <v>79</v>
      </c>
    </row>
    <row r="3" customFormat="false" ht="15" hidden="false" customHeight="false" outlineLevel="0" collapsed="false">
      <c r="A3" s="17" t="s">
        <v>174</v>
      </c>
      <c r="B3" s="17" t="s">
        <v>170</v>
      </c>
      <c r="C3" s="18" t="s">
        <v>175</v>
      </c>
      <c r="D3" s="18" t="n">
        <v>0.1</v>
      </c>
      <c r="E3" s="17" t="s">
        <v>176</v>
      </c>
      <c r="F3" s="18" t="s">
        <v>177</v>
      </c>
      <c r="G3" s="18" t="s">
        <v>173</v>
      </c>
      <c r="H3" s="18" t="s">
        <v>79</v>
      </c>
    </row>
    <row r="4" customFormat="false" ht="15" hidden="false" customHeight="false" outlineLevel="0" collapsed="false">
      <c r="A4" s="17" t="s">
        <v>178</v>
      </c>
      <c r="B4" s="17" t="s">
        <v>170</v>
      </c>
      <c r="C4" s="18" t="s">
        <v>171</v>
      </c>
      <c r="D4" s="18" t="n">
        <v>110</v>
      </c>
      <c r="E4" s="17" t="s">
        <v>179</v>
      </c>
      <c r="F4" s="18" t="s">
        <v>180</v>
      </c>
      <c r="G4" s="18" t="s">
        <v>181</v>
      </c>
      <c r="H4" s="18" t="s">
        <v>79</v>
      </c>
    </row>
    <row r="5" customFormat="false" ht="15" hidden="false" customHeight="false" outlineLevel="0" collapsed="false">
      <c r="A5" s="17" t="s">
        <v>182</v>
      </c>
      <c r="B5" s="17" t="s">
        <v>170</v>
      </c>
      <c r="C5" s="18" t="s">
        <v>183</v>
      </c>
      <c r="D5" s="18" t="n">
        <v>6.2</v>
      </c>
      <c r="E5" s="17" t="s">
        <v>176</v>
      </c>
      <c r="F5" s="18" t="s">
        <v>184</v>
      </c>
      <c r="G5" s="18" t="s">
        <v>173</v>
      </c>
      <c r="H5" s="18" t="s">
        <v>79</v>
      </c>
    </row>
    <row r="6" customFormat="false" ht="15" hidden="false" customHeight="false" outlineLevel="0" collapsed="false">
      <c r="A6" s="17" t="s">
        <v>185</v>
      </c>
      <c r="B6" s="17" t="s">
        <v>170</v>
      </c>
      <c r="C6" s="18" t="s">
        <v>171</v>
      </c>
      <c r="D6" s="18" t="n">
        <v>95</v>
      </c>
      <c r="E6" s="17" t="s">
        <v>186</v>
      </c>
      <c r="F6" s="18" t="s">
        <v>187</v>
      </c>
      <c r="G6" s="18" t="s">
        <v>181</v>
      </c>
      <c r="H6" s="18" t="s">
        <v>79</v>
      </c>
    </row>
    <row r="8" customFormat="false" ht="15" hidden="false" customHeight="false" outlineLevel="0" collapsed="false">
      <c r="A8" s="2" t="s">
        <v>188</v>
      </c>
    </row>
  </sheetData>
  <dataValidations count="2">
    <dataValidation allowBlank="true" errorStyle="stop" operator="between" showDropDown="false" showErrorMessage="false" showInputMessage="false" sqref="C2:C200" type="list">
      <formula1>"% do CDI,Selic +,IPCA +,Prefixado,Não se aplica"</formula1>
      <formula2>0</formula2>
    </dataValidation>
    <dataValidation allowBlank="true" errorStyle="stop" operator="between" showDropDown="false" showErrorMessage="false" showInputMessage="false" sqref="H2:H20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21.75" hidden="false" customHeight="true" outlineLevel="0" collapsed="false">
      <c r="A1" s="25" t="s">
        <v>58</v>
      </c>
      <c r="B1" s="25" t="s">
        <v>59</v>
      </c>
      <c r="C1" s="25" t="s">
        <v>60</v>
      </c>
      <c r="D1" s="25" t="s">
        <v>161</v>
      </c>
      <c r="E1" s="25" t="s">
        <v>61</v>
      </c>
      <c r="F1" s="25" t="s">
        <v>69</v>
      </c>
      <c r="G1" s="25" t="s">
        <v>71</v>
      </c>
    </row>
    <row r="2" customFormat="false" ht="15" hidden="false" customHeight="false" outlineLevel="0" collapsed="false">
      <c r="A2" s="17" t="s">
        <v>189</v>
      </c>
      <c r="B2" s="18" t="s">
        <v>190</v>
      </c>
      <c r="C2" s="18" t="s">
        <v>34</v>
      </c>
      <c r="D2" s="17" t="s">
        <v>169</v>
      </c>
      <c r="E2" s="18" t="s">
        <v>191</v>
      </c>
      <c r="F2" s="26" t="n">
        <v>1000</v>
      </c>
      <c r="G2" s="17" t="s">
        <v>80</v>
      </c>
    </row>
    <row r="3" customFormat="false" ht="15" hidden="false" customHeight="false" outlineLevel="0" collapsed="false">
      <c r="A3" s="17" t="s">
        <v>192</v>
      </c>
      <c r="B3" s="18" t="s">
        <v>190</v>
      </c>
      <c r="C3" s="18" t="s">
        <v>34</v>
      </c>
      <c r="D3" s="17" t="s">
        <v>174</v>
      </c>
      <c r="E3" s="18" t="s">
        <v>191</v>
      </c>
      <c r="F3" s="26" t="n">
        <v>500</v>
      </c>
      <c r="G3" s="17" t="s">
        <v>80</v>
      </c>
    </row>
  </sheetData>
  <dataValidations count="2">
    <dataValidation allowBlank="true" errorStyle="stop" operator="between" showDropDown="false" showErrorMessage="false" showInputMessage="false" sqref="E2:E1003" type="list">
      <formula1>"Aporte,Resgate"</formula1>
      <formula2>0</formula2>
    </dataValidation>
    <dataValidation allowBlank="true" errorStyle="stop" operator="between" showDropDown="false" showErrorMessage="false" showInputMessage="false" sqref="D2:D1003" type="list">
      <formula1>Ativos!$A$2:$A$200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25" t="s">
        <v>58</v>
      </c>
      <c r="B1" s="25" t="s">
        <v>60</v>
      </c>
      <c r="C1" s="25" t="s">
        <v>161</v>
      </c>
      <c r="D1" s="25" t="s">
        <v>193</v>
      </c>
      <c r="E1" s="25" t="s">
        <v>71</v>
      </c>
    </row>
    <row r="2" customFormat="false" ht="15" hidden="false" customHeight="false" outlineLevel="0" collapsed="false">
      <c r="A2" s="17" t="s">
        <v>194</v>
      </c>
      <c r="B2" s="18" t="s">
        <v>34</v>
      </c>
      <c r="C2" s="17" t="s">
        <v>169</v>
      </c>
      <c r="D2" s="26" t="n">
        <v>1011.8</v>
      </c>
      <c r="E2" s="17" t="s">
        <v>195</v>
      </c>
    </row>
    <row r="3" customFormat="false" ht="15" hidden="false" customHeight="false" outlineLevel="0" collapsed="false">
      <c r="A3" s="17" t="s">
        <v>196</v>
      </c>
      <c r="B3" s="18" t="s">
        <v>34</v>
      </c>
      <c r="C3" s="17" t="s">
        <v>174</v>
      </c>
      <c r="D3" s="26" t="n">
        <v>505.4</v>
      </c>
      <c r="E3" s="17" t="s">
        <v>80</v>
      </c>
    </row>
  </sheetData>
  <dataValidations count="1">
    <dataValidation allowBlank="true" errorStyle="stop" operator="between" showDropDown="false" showErrorMessage="false" showInputMessage="false" sqref="C2:C1003" type="list">
      <formula1>Ativos!$A$2:$A$200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2026-07-31T12:34:13Z</dcterms:created>
  <dc:creator>openpyxl</dc:creator>
  <dc:description/>
  <dc:language>en-US</dc:language>
  <cp:lastModifiedBy>Ricardo Prazeres</cp:lastModifiedBy>
  <dcterms:modified xsi:type="dcterms:W3CDTF">2026-07-31T13:23:02Z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