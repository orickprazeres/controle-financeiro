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4537bb2b18d2832/Documentos 1/^NControleFinanceiro/planilha/"/>
    </mc:Choice>
  </mc:AlternateContent>
  <xr:revisionPtr revIDLastSave="6" documentId="11_F1C69FDA7E98D1A2D5E64A9A7C6202E5AAE79A1B" xr6:coauthVersionLast="47" xr6:coauthVersionMax="47" xr10:uidLastSave="{4B655999-84E2-436C-83DA-48CFBEF6533E}"/>
  <bookViews>
    <workbookView xWindow="-120" yWindow="-120" windowWidth="29040" windowHeight="15720" tabRatio="500" xr2:uid="{00000000-000D-0000-FFFF-FFFF00000000}"/>
  </bookViews>
  <sheets>
    <sheet name="Painel" sheetId="1" r:id="rId1"/>
    <sheet name="Lancamentos" sheetId="2" r:id="rId2"/>
    <sheet name="Categorias" sheetId="3" r:id="rId3"/>
    <sheet name="Cartoes" sheetId="4" r:id="rId4"/>
    <sheet name="Orcamento" sheetId="5" r:id="rId5"/>
    <sheet name="Leia-m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" l="1"/>
  <c r="C38" i="1" s="1"/>
  <c r="E37" i="1"/>
  <c r="F37" i="1" s="1"/>
  <c r="C37" i="1"/>
  <c r="E36" i="1"/>
  <c r="F36" i="1" s="1"/>
  <c r="C36" i="1"/>
  <c r="E35" i="1"/>
  <c r="F35" i="1" s="1"/>
  <c r="C35" i="1"/>
  <c r="E34" i="1"/>
  <c r="F34" i="1" s="1"/>
  <c r="C34" i="1"/>
  <c r="E33" i="1"/>
  <c r="F33" i="1" s="1"/>
  <c r="C33" i="1"/>
  <c r="E32" i="1"/>
  <c r="F32" i="1" s="1"/>
  <c r="C32" i="1"/>
  <c r="E31" i="1"/>
  <c r="F31" i="1" s="1"/>
  <c r="C31" i="1"/>
  <c r="E30" i="1"/>
  <c r="F30" i="1" s="1"/>
  <c r="C30" i="1"/>
  <c r="E29" i="1"/>
  <c r="F29" i="1" s="1"/>
  <c r="C29" i="1"/>
  <c r="E28" i="1"/>
  <c r="F28" i="1" s="1"/>
  <c r="C28" i="1"/>
  <c r="E27" i="1"/>
  <c r="F27" i="1" s="1"/>
  <c r="C27" i="1"/>
  <c r="J26" i="1"/>
  <c r="I26" i="1"/>
  <c r="K26" i="1" s="1"/>
  <c r="E26" i="1"/>
  <c r="F26" i="1" s="1"/>
  <c r="C26" i="1"/>
  <c r="J25" i="1"/>
  <c r="I25" i="1"/>
  <c r="K25" i="1" s="1"/>
  <c r="E25" i="1"/>
  <c r="F25" i="1" s="1"/>
  <c r="C25" i="1"/>
  <c r="K24" i="1"/>
  <c r="J24" i="1"/>
  <c r="I24" i="1"/>
  <c r="E24" i="1"/>
  <c r="F24" i="1" s="1"/>
  <c r="C24" i="1"/>
  <c r="J23" i="1"/>
  <c r="I23" i="1"/>
  <c r="K23" i="1" s="1"/>
  <c r="E23" i="1"/>
  <c r="F23" i="1" s="1"/>
  <c r="C23" i="1"/>
  <c r="J22" i="1"/>
  <c r="I22" i="1"/>
  <c r="K22" i="1" s="1"/>
  <c r="E22" i="1"/>
  <c r="F22" i="1" s="1"/>
  <c r="C22" i="1"/>
  <c r="J21" i="1"/>
  <c r="I21" i="1"/>
  <c r="K21" i="1" s="1"/>
  <c r="E21" i="1"/>
  <c r="F21" i="1" s="1"/>
  <c r="C21" i="1"/>
  <c r="K20" i="1"/>
  <c r="J20" i="1"/>
  <c r="I20" i="1"/>
  <c r="E20" i="1"/>
  <c r="F20" i="1" s="1"/>
  <c r="C20" i="1"/>
  <c r="J19" i="1"/>
  <c r="I19" i="1"/>
  <c r="K19" i="1" s="1"/>
  <c r="E19" i="1"/>
  <c r="F19" i="1" s="1"/>
  <c r="C19" i="1"/>
  <c r="J18" i="1"/>
  <c r="I18" i="1"/>
  <c r="K18" i="1" s="1"/>
  <c r="E18" i="1"/>
  <c r="F18" i="1" s="1"/>
  <c r="C18" i="1"/>
  <c r="J17" i="1"/>
  <c r="I17" i="1"/>
  <c r="K17" i="1" s="1"/>
  <c r="E17" i="1"/>
  <c r="F17" i="1" s="1"/>
  <c r="C17" i="1"/>
  <c r="K16" i="1"/>
  <c r="J16" i="1"/>
  <c r="I16" i="1"/>
  <c r="E16" i="1"/>
  <c r="F16" i="1" s="1"/>
  <c r="C16" i="1"/>
  <c r="J15" i="1"/>
  <c r="J27" i="1" s="1"/>
  <c r="I15" i="1"/>
  <c r="I27" i="1" s="1"/>
  <c r="K27" i="1" s="1"/>
  <c r="E15" i="1"/>
  <c r="E38" i="1" s="1"/>
  <c r="C11" i="1"/>
  <c r="C10" i="1"/>
  <c r="C8" i="1"/>
  <c r="C7" i="1"/>
  <c r="C9" i="1" s="1"/>
  <c r="D38" i="1" l="1"/>
  <c r="F38" i="1"/>
  <c r="D31" i="1"/>
  <c r="D18" i="1"/>
  <c r="D22" i="1"/>
  <c r="D26" i="1"/>
  <c r="D32" i="1"/>
  <c r="D33" i="1"/>
  <c r="D15" i="1"/>
  <c r="D19" i="1"/>
  <c r="D23" i="1"/>
  <c r="D27" i="1"/>
  <c r="D34" i="1"/>
  <c r="F15" i="1"/>
  <c r="D35" i="1"/>
  <c r="K15" i="1"/>
  <c r="D16" i="1"/>
  <c r="D20" i="1"/>
  <c r="D24" i="1"/>
  <c r="D28" i="1"/>
  <c r="D36" i="1"/>
  <c r="D29" i="1"/>
  <c r="D37" i="1"/>
  <c r="D17" i="1"/>
  <c r="D21" i="1"/>
  <c r="D25" i="1"/>
  <c r="D30" i="1"/>
  <c r="L24" i="1" l="1"/>
  <c r="L20" i="1"/>
  <c r="L16" i="1"/>
  <c r="L23" i="1"/>
  <c r="L19" i="1"/>
  <c r="L15" i="1"/>
  <c r="L26" i="1"/>
  <c r="L27" i="1" s="1"/>
  <c r="L22" i="1"/>
  <c r="L18" i="1"/>
  <c r="L25" i="1"/>
  <c r="L21" i="1"/>
  <c r="L17" i="1"/>
</calcChain>
</file>

<file path=xl/sharedStrings.xml><?xml version="1.0" encoding="utf-8"?>
<sst xmlns="http://schemas.openxmlformats.org/spreadsheetml/2006/main" count="304" uniqueCount="148">
  <si>
    <t>PAINEL DE CUSTOS DA CASA</t>
  </si>
  <si>
    <t>Este painel é um resumo de conferência. A análise completa fica no site.</t>
  </si>
  <si>
    <t>Competência (AAAA-MM):</t>
  </si>
  <si>
    <t>2026-01</t>
  </si>
  <si>
    <t>← altere aqui</t>
  </si>
  <si>
    <t>Total de Entradas</t>
  </si>
  <si>
    <t>Total de Saídas</t>
  </si>
  <si>
    <t>Saldo do Mês</t>
  </si>
  <si>
    <t>Gasto no crédito</t>
  </si>
  <si>
    <t>Ainda a pagar</t>
  </si>
  <si>
    <t>GASTOS POR CATEGORIA</t>
  </si>
  <si>
    <t>EVOLUÇÃO DO ANO</t>
  </si>
  <si>
    <t>Categoria</t>
  </si>
  <si>
    <t>Gasto</t>
  </si>
  <si>
    <t>%</t>
  </si>
  <si>
    <t>Orçamento</t>
  </si>
  <si>
    <t>Diferença</t>
  </si>
  <si>
    <t>Competência</t>
  </si>
  <si>
    <t>Entradas</t>
  </si>
  <si>
    <t>Saídas</t>
  </si>
  <si>
    <t>Saldo</t>
  </si>
  <si>
    <t>Acumulado</t>
  </si>
  <si>
    <t>Aluguel/Condomínio</t>
  </si>
  <si>
    <t>Contas da casa (luz/água/gás)</t>
  </si>
  <si>
    <t>2026-02</t>
  </si>
  <si>
    <t>Internet/Telefone</t>
  </si>
  <si>
    <t>2026-03</t>
  </si>
  <si>
    <t>Manutenção/Móveis</t>
  </si>
  <si>
    <t>2026-04</t>
  </si>
  <si>
    <t>Mercado</t>
  </si>
  <si>
    <t>2026-05</t>
  </si>
  <si>
    <t>Restaurantes/Delivery</t>
  </si>
  <si>
    <t>2026-06</t>
  </si>
  <si>
    <t>Combustível</t>
  </si>
  <si>
    <t>2026-07</t>
  </si>
  <si>
    <t>Transporte/App</t>
  </si>
  <si>
    <t>2026-08</t>
  </si>
  <si>
    <t>Veículo (seguro/IPVA/manutenção)</t>
  </si>
  <si>
    <t>2026-09</t>
  </si>
  <si>
    <t>Plano de Saúde</t>
  </si>
  <si>
    <t>2026-10</t>
  </si>
  <si>
    <t>Saúde/Farmácia</t>
  </si>
  <si>
    <t>2026-11</t>
  </si>
  <si>
    <t>Educação</t>
  </si>
  <si>
    <t>2026-12</t>
  </si>
  <si>
    <t>Assinaturas/Streaming</t>
  </si>
  <si>
    <t>TOTAL</t>
  </si>
  <si>
    <t>Lazer</t>
  </si>
  <si>
    <t>Vestuário</t>
  </si>
  <si>
    <t>Viagem</t>
  </si>
  <si>
    <t>Amarelo = célula que você edita. O resto é fórmula, não digite por cima.</t>
  </si>
  <si>
    <t>Pets</t>
  </si>
  <si>
    <t>Presentes/Doações</t>
  </si>
  <si>
    <t>Impostos/Taxas</t>
  </si>
  <si>
    <t>Empréstimo/Financiamento</t>
  </si>
  <si>
    <t>Investimento/Reserva</t>
  </si>
  <si>
    <t>Tarifas bancárias</t>
  </si>
  <si>
    <t>Outros</t>
  </si>
  <si>
    <t>id</t>
  </si>
  <si>
    <t>data</t>
  </si>
  <si>
    <t>competencia</t>
  </si>
  <si>
    <t>tipo</t>
  </si>
  <si>
    <t>descricao</t>
  </si>
  <si>
    <t>categoria</t>
  </si>
  <si>
    <t>grupo</t>
  </si>
  <si>
    <t>forma_pagamento</t>
  </si>
  <si>
    <t>cartao</t>
  </si>
  <si>
    <t>parcela</t>
  </si>
  <si>
    <t>parcelas_total</t>
  </si>
  <si>
    <t>valor</t>
  </si>
  <si>
    <t>pago</t>
  </si>
  <si>
    <t>obs</t>
  </si>
  <si>
    <t>EXEMPLO-1</t>
  </si>
  <si>
    <t>2026-01-05</t>
  </si>
  <si>
    <t>Entrada</t>
  </si>
  <si>
    <t>Salário Ricardo</t>
  </si>
  <si>
    <t>Salário</t>
  </si>
  <si>
    <t>Receita</t>
  </si>
  <si>
    <t>Pix</t>
  </si>
  <si>
    <t>Sim</t>
  </si>
  <si>
    <t>apague esta linha</t>
  </si>
  <si>
    <t>EXEMPLO-2</t>
  </si>
  <si>
    <t>2026-01-07</t>
  </si>
  <si>
    <t>Saída</t>
  </si>
  <si>
    <t>Aluguel janeiro</t>
  </si>
  <si>
    <t>Moradia</t>
  </si>
  <si>
    <t>Boleto</t>
  </si>
  <si>
    <t>EXEMPLO-3</t>
  </si>
  <si>
    <t>2026-01-12</t>
  </si>
  <si>
    <t>Compra mensal Assaí</t>
  </si>
  <si>
    <t>Alimentação</t>
  </si>
  <si>
    <t>Crédito</t>
  </si>
  <si>
    <t>NU RICARDO</t>
  </si>
  <si>
    <t>Não</t>
  </si>
  <si>
    <t>EXEMPLO-4</t>
  </si>
  <si>
    <t>2026-01-20</t>
  </si>
  <si>
    <t>Geladeira 1/10</t>
  </si>
  <si>
    <t>VISA RICARDO</t>
  </si>
  <si>
    <t>parcela 1 de 10</t>
  </si>
  <si>
    <t>EXEMPLO-5</t>
  </si>
  <si>
    <t>Geladeira 2/10</t>
  </si>
  <si>
    <t>cai em fevereiro</t>
  </si>
  <si>
    <t>essencial</t>
  </si>
  <si>
    <t>Transporte</t>
  </si>
  <si>
    <t>Saúde</t>
  </si>
  <si>
    <t>Pessoal</t>
  </si>
  <si>
    <t>Financeiro</t>
  </si>
  <si>
    <t>-</t>
  </si>
  <si>
    <t>Renda Extra/Freelance</t>
  </si>
  <si>
    <t>Reembolso</t>
  </si>
  <si>
    <t>Rendimentos/Investimentos</t>
  </si>
  <si>
    <t>titular</t>
  </si>
  <si>
    <t>dia_fechamento</t>
  </si>
  <si>
    <t>dia_vencimento</t>
  </si>
  <si>
    <t>limite</t>
  </si>
  <si>
    <t>Ricardo</t>
  </si>
  <si>
    <t>NU HELENA</t>
  </si>
  <si>
    <t>Helena</t>
  </si>
  <si>
    <t>limite_mensal</t>
  </si>
  <si>
    <t>Preencha só as categorias que você quer limitar. Deixe 0 para ignorar.</t>
  </si>
  <si>
    <t>COMO ESTA PLANILHA FUNCIONA</t>
  </si>
  <si>
    <t>A regra de ouro: TODO lançamento — entrada, saída, dinheiro, débito ou cartão — vai numa</t>
  </si>
  <si>
    <t>única aba: Lancamentos. Não existe mais uma aba por mês nem uma aba por cartão.</t>
  </si>
  <si>
    <t>AS COLUNAS</t>
  </si>
  <si>
    <t>id — código único da linha. O site preenche sozinho. Se digitar na mão, use qualquer texto único.</t>
  </si>
  <si>
    <t>data — quando o gasto aconteceu (AAAA-MM-DD).</t>
  </si>
  <si>
    <t>competencia — em que mês esse valor pesa no bolso (AAAA-MM). É por AQUI que tudo é somado.</t>
  </si>
  <si>
    <t xml:space="preserve">    Numa compra parcelada, cada parcela vira uma linha, com a mesma data e competências diferentes.</t>
  </si>
  <si>
    <t>tipo — Entrada ou Saída.</t>
  </si>
  <si>
    <t>descricao — texto livre.</t>
  </si>
  <si>
    <t>categoria — escolha da lista (aba Categorias). Uma lista só, valendo para tudo.</t>
  </si>
  <si>
    <t>grupo — preenchido pelo site a partir da categoria. Serve para agrupar no painel.</t>
  </si>
  <si>
    <t>forma_pagamento — Dinheiro, Débito, Pix, Boleto, Crédito ou Transferência.</t>
  </si>
  <si>
    <t>cartao — só quando forma_pagamento = Crédito.</t>
  </si>
  <si>
    <t>parcela / parcelas_total — 1 e 1 numa compra à vista; 3 e 10 na terceira de dez.</t>
  </si>
  <si>
    <t>valor — o valor DA PARCELA, não o total da compra.</t>
  </si>
  <si>
    <t>pago — Sim ou Não.</t>
  </si>
  <si>
    <t>O QUE MUDOU EM RELAÇÃO À PLANILHA ANTIGA</t>
  </si>
  <si>
    <t>1. Uma tabela no lugar de 25 abas — dá para comparar meses e ver tendência.</t>
  </si>
  <si>
    <t>2. Uma lista única de categorias — antes as Saídas e o Cartão usavam listas diferentes e nunca somavam.</t>
  </si>
  <si>
    <t>3. Cartão deixou de ser categoria. Agora é forma de pagamento. Remédio no cartão conta como Saúde,</t>
  </si>
  <si>
    <t xml:space="preserve">    e você continua vendo o total da fatura filtrando por forma_pagamento = Crédito.</t>
  </si>
  <si>
    <t>4. Parcela virou linha com competência própria — você enxerga o que já está comprometido lá na frente.</t>
  </si>
  <si>
    <t>5. Sem limite de linhas e sem copiar aba todo mês.</t>
  </si>
  <si>
    <t>ANTES DE COMEÇAR</t>
  </si>
  <si>
    <t>Apague as 5 linhas de EXEMPLO da aba Lancamentos. (O site também as ignora sozinho.)</t>
  </si>
  <si>
    <t>Preencha os limites na aba Orcamento só das categorias que quiser controlar.</t>
  </si>
  <si>
    <t>Ajuste os cartões e os dias de fechamento na aba Cartoes.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</si>
</sst>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&quot;(R$ &quot;#,##0.00\);\-"/>
    <numFmt numFmtId="165" formatCode="0.0%;\-0.0%;\-"/>
  </numFmts>
  <fonts count="11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9"/>
      <color rgb="FF808080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sz val="10"/>
      <color rgb="FF000000"/>
      <name val="Arial"/>
      <charset val="1"/>
    </font>
    <font>
      <b/>
      <sz val="12"/>
      <color rgb="FF1F3A5F"/>
      <name val="Arial"/>
      <charset val="1"/>
    </font>
    <font>
      <b/>
      <sz val="10"/>
      <color rgb="FFFFFFFF"/>
      <name val="Arial"/>
      <charset val="1"/>
    </font>
    <font>
      <sz val="10"/>
      <color rgb="FF808080"/>
      <name val="Arial"/>
      <charset val="1"/>
    </font>
    <font>
      <sz val="10"/>
      <color rgb="FF0000FF"/>
      <name val="Arial"/>
      <charset val="1"/>
    </font>
    <font>
      <b/>
      <sz val="11"/>
      <color rgb="FF2E6E9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2E6E9E"/>
        <bgColor rgb="FF008080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5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7" fillId="5" borderId="1" xfId="0" applyFont="1" applyFill="1" applyBorder="1"/>
    <xf numFmtId="164" fontId="7" fillId="5" borderId="1" xfId="0" applyNumberFormat="1" applyFont="1" applyFill="1" applyBorder="1"/>
    <xf numFmtId="165" fontId="7" fillId="5" borderId="1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/>
    <xf numFmtId="0" fontId="7" fillId="5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4" fontId="9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6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showGridLines="0" tabSelected="1" zoomScaleNormal="100" workbookViewId="0">
      <selection activeCell="O24" sqref="O24"/>
    </sheetView>
  </sheetViews>
  <sheetFormatPr defaultColWidth="8.7109375" defaultRowHeight="15" x14ac:dyDescent="0.25"/>
  <cols>
    <col min="1" max="1" width="2" customWidth="1"/>
    <col min="2" max="2" width="32" customWidth="1"/>
    <col min="3" max="3" width="15" customWidth="1"/>
    <col min="4" max="4" width="10" customWidth="1"/>
    <col min="5" max="6" width="15" customWidth="1"/>
    <col min="7" max="7" width="3" customWidth="1"/>
    <col min="8" max="8" width="13" customWidth="1"/>
    <col min="9" max="11" width="14" customWidth="1"/>
    <col min="12" max="12" width="15" customWidth="1"/>
  </cols>
  <sheetData>
    <row r="2" spans="2:12" ht="20.25" x14ac:dyDescent="0.3">
      <c r="B2" s="1" t="s">
        <v>0</v>
      </c>
    </row>
    <row r="3" spans="2:12" x14ac:dyDescent="0.25">
      <c r="B3" s="2" t="s">
        <v>1</v>
      </c>
    </row>
    <row r="5" spans="2:12" x14ac:dyDescent="0.25">
      <c r="B5" s="3" t="s">
        <v>2</v>
      </c>
      <c r="C5" s="4" t="s">
        <v>3</v>
      </c>
      <c r="D5" s="2" t="s">
        <v>4</v>
      </c>
    </row>
    <row r="7" spans="2:12" x14ac:dyDescent="0.25">
      <c r="B7" s="5" t="s">
        <v>5</v>
      </c>
      <c r="C7" s="6">
        <f>SUMIFS(Lancamentos!$L:$L,Lancamentos!$C:$C,$C$5,Lancamentos!$D:$D,"Entrada")</f>
        <v>7500</v>
      </c>
    </row>
    <row r="8" spans="2:12" x14ac:dyDescent="0.25">
      <c r="B8" s="5" t="s">
        <v>6</v>
      </c>
      <c r="C8" s="6">
        <f>SUMIFS(Lancamentos!$L:$L,Lancamentos!$C:$C,$C$5,Lancamentos!$D:$D,"Saída")</f>
        <v>3480.45</v>
      </c>
    </row>
    <row r="9" spans="2:12" x14ac:dyDescent="0.25">
      <c r="B9" s="5" t="s">
        <v>7</v>
      </c>
      <c r="C9" s="7">
        <f>C7-C8</f>
        <v>4019.55</v>
      </c>
    </row>
    <row r="10" spans="2:12" x14ac:dyDescent="0.25">
      <c r="B10" s="5" t="s">
        <v>8</v>
      </c>
      <c r="C10" s="6">
        <f>SUMIFS(Lancamentos!$L:$L,Lancamentos!$C:$C,$C$5,Lancamentos!$H:$H,"Crédito")</f>
        <v>1280.45</v>
      </c>
    </row>
    <row r="11" spans="2:12" x14ac:dyDescent="0.25">
      <c r="B11" s="5" t="s">
        <v>9</v>
      </c>
      <c r="C11" s="6">
        <f>SUMIFS(Lancamentos!$L:$L,Lancamentos!$C:$C,$C$5,Lancamentos!$D:$D,"Saída",Lancamentos!$M:$M,"Não")</f>
        <v>1280.45</v>
      </c>
    </row>
    <row r="13" spans="2:12" ht="15.75" x14ac:dyDescent="0.25">
      <c r="B13" s="8" t="s">
        <v>10</v>
      </c>
      <c r="H13" s="8" t="s">
        <v>11</v>
      </c>
    </row>
    <row r="14" spans="2:12" x14ac:dyDescent="0.25"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H14" s="9" t="s">
        <v>17</v>
      </c>
      <c r="I14" s="9" t="s">
        <v>18</v>
      </c>
      <c r="J14" s="9" t="s">
        <v>19</v>
      </c>
      <c r="K14" s="9" t="s">
        <v>20</v>
      </c>
      <c r="L14" s="9" t="s">
        <v>21</v>
      </c>
    </row>
    <row r="15" spans="2:12" x14ac:dyDescent="0.25">
      <c r="B15" s="10" t="s">
        <v>22</v>
      </c>
      <c r="C15" s="6">
        <f>SUMIFS(Lancamentos!$L:$L,Lancamentos!$C:$C,$C$5,Lancamentos!$F:$F,$B15)</f>
        <v>2200</v>
      </c>
      <c r="D15" s="11">
        <f t="shared" ref="D15:D38" si="0">IF($C$8=0,0,C15/$C$8)</f>
        <v>0.63210217069631802</v>
      </c>
      <c r="E15" s="6">
        <f>IFERROR(INDEX(Orcamento!$B:$B,MATCH($B15,Orcamento!$A:$A,0)),0)</f>
        <v>0</v>
      </c>
      <c r="F15" s="6" t="str">
        <f t="shared" ref="F15:F37" si="1">IF(E15=0,"",E15-C15)</f>
        <v/>
      </c>
      <c r="H15" s="12" t="s">
        <v>3</v>
      </c>
      <c r="I15" s="6">
        <f>SUMIFS(Lancamentos!$L:$L,Lancamentos!$C:$C,$H15,Lancamentos!$D:$D,"Entrada")</f>
        <v>7500</v>
      </c>
      <c r="J15" s="6">
        <f>SUMIFS(Lancamentos!$L:$L,Lancamentos!$C:$C,$H15,Lancamentos!$D:$D,"Saída")</f>
        <v>3480.45</v>
      </c>
      <c r="K15" s="6">
        <f t="shared" ref="K15:K27" si="2">I15-J15</f>
        <v>4019.55</v>
      </c>
      <c r="L15" s="6">
        <f>SUM($K$15:K15)</f>
        <v>4019.55</v>
      </c>
    </row>
    <row r="16" spans="2:12" x14ac:dyDescent="0.25">
      <c r="B16" s="10" t="s">
        <v>23</v>
      </c>
      <c r="C16" s="6">
        <f>SUMIFS(Lancamentos!$L:$L,Lancamentos!$C:$C,$C$5,Lancamentos!$F:$F,$B16)</f>
        <v>0</v>
      </c>
      <c r="D16" s="11">
        <f t="shared" si="0"/>
        <v>0</v>
      </c>
      <c r="E16" s="6">
        <f>IFERROR(INDEX(Orcamento!$B:$B,MATCH($B16,Orcamento!$A:$A,0)),0)</f>
        <v>0</v>
      </c>
      <c r="F16" s="6" t="str">
        <f t="shared" si="1"/>
        <v/>
      </c>
      <c r="H16" s="12" t="s">
        <v>24</v>
      </c>
      <c r="I16" s="6">
        <f>SUMIFS(Lancamentos!$L:$L,Lancamentos!$C:$C,$H16,Lancamentos!$D:$D,"Entrada")</f>
        <v>0</v>
      </c>
      <c r="J16" s="6">
        <f>SUMIFS(Lancamentos!$L:$L,Lancamentos!$C:$C,$H16,Lancamentos!$D:$D,"Saída")</f>
        <v>420</v>
      </c>
      <c r="K16" s="6">
        <f t="shared" si="2"/>
        <v>-420</v>
      </c>
      <c r="L16" s="6">
        <f>SUM($K$15:K16)</f>
        <v>3599.55</v>
      </c>
    </row>
    <row r="17" spans="2:12" x14ac:dyDescent="0.25">
      <c r="B17" s="10" t="s">
        <v>25</v>
      </c>
      <c r="C17" s="6">
        <f>SUMIFS(Lancamentos!$L:$L,Lancamentos!$C:$C,$C$5,Lancamentos!$F:$F,$B17)</f>
        <v>0</v>
      </c>
      <c r="D17" s="11">
        <f t="shared" si="0"/>
        <v>0</v>
      </c>
      <c r="E17" s="6">
        <f>IFERROR(INDEX(Orcamento!$B:$B,MATCH($B17,Orcamento!$A:$A,0)),0)</f>
        <v>0</v>
      </c>
      <c r="F17" s="6" t="str">
        <f t="shared" si="1"/>
        <v/>
      </c>
      <c r="H17" s="12" t="s">
        <v>26</v>
      </c>
      <c r="I17" s="6">
        <f>SUMIFS(Lancamentos!$L:$L,Lancamentos!$C:$C,$H17,Lancamentos!$D:$D,"Entrada")</f>
        <v>0</v>
      </c>
      <c r="J17" s="6">
        <f>SUMIFS(Lancamentos!$L:$L,Lancamentos!$C:$C,$H17,Lancamentos!$D:$D,"Saída")</f>
        <v>0</v>
      </c>
      <c r="K17" s="6">
        <f t="shared" si="2"/>
        <v>0</v>
      </c>
      <c r="L17" s="6">
        <f>SUM($K$15:K17)</f>
        <v>3599.55</v>
      </c>
    </row>
    <row r="18" spans="2:12" x14ac:dyDescent="0.25">
      <c r="B18" s="10" t="s">
        <v>27</v>
      </c>
      <c r="C18" s="6">
        <f>SUMIFS(Lancamentos!$L:$L,Lancamentos!$C:$C,$C$5,Lancamentos!$F:$F,$B18)</f>
        <v>420</v>
      </c>
      <c r="D18" s="11">
        <f t="shared" si="0"/>
        <v>0.12067405076929708</v>
      </c>
      <c r="E18" s="6">
        <f>IFERROR(INDEX(Orcamento!$B:$B,MATCH($B18,Orcamento!$A:$A,0)),0)</f>
        <v>0</v>
      </c>
      <c r="F18" s="6" t="str">
        <f t="shared" si="1"/>
        <v/>
      </c>
      <c r="H18" s="12" t="s">
        <v>28</v>
      </c>
      <c r="I18" s="6">
        <f>SUMIFS(Lancamentos!$L:$L,Lancamentos!$C:$C,$H18,Lancamentos!$D:$D,"Entrada")</f>
        <v>0</v>
      </c>
      <c r="J18" s="6">
        <f>SUMIFS(Lancamentos!$L:$L,Lancamentos!$C:$C,$H18,Lancamentos!$D:$D,"Saída")</f>
        <v>0</v>
      </c>
      <c r="K18" s="6">
        <f t="shared" si="2"/>
        <v>0</v>
      </c>
      <c r="L18" s="6">
        <f>SUM($K$15:K18)</f>
        <v>3599.55</v>
      </c>
    </row>
    <row r="19" spans="2:12" x14ac:dyDescent="0.25">
      <c r="B19" s="10" t="s">
        <v>29</v>
      </c>
      <c r="C19" s="6">
        <f>SUMIFS(Lancamentos!$L:$L,Lancamentos!$C:$C,$C$5,Lancamentos!$F:$F,$B19)</f>
        <v>860.45</v>
      </c>
      <c r="D19" s="11">
        <f t="shared" si="0"/>
        <v>0.24722377853438496</v>
      </c>
      <c r="E19" s="6">
        <f>IFERROR(INDEX(Orcamento!$B:$B,MATCH($B19,Orcamento!$A:$A,0)),0)</f>
        <v>0</v>
      </c>
      <c r="F19" s="6" t="str">
        <f t="shared" si="1"/>
        <v/>
      </c>
      <c r="H19" s="12" t="s">
        <v>30</v>
      </c>
      <c r="I19" s="6">
        <f>SUMIFS(Lancamentos!$L:$L,Lancamentos!$C:$C,$H19,Lancamentos!$D:$D,"Entrada")</f>
        <v>0</v>
      </c>
      <c r="J19" s="6">
        <f>SUMIFS(Lancamentos!$L:$L,Lancamentos!$C:$C,$H19,Lancamentos!$D:$D,"Saída")</f>
        <v>0</v>
      </c>
      <c r="K19" s="6">
        <f t="shared" si="2"/>
        <v>0</v>
      </c>
      <c r="L19" s="6">
        <f>SUM($K$15:K19)</f>
        <v>3599.55</v>
      </c>
    </row>
    <row r="20" spans="2:12" x14ac:dyDescent="0.25">
      <c r="B20" s="10" t="s">
        <v>31</v>
      </c>
      <c r="C20" s="6">
        <f>SUMIFS(Lancamentos!$L:$L,Lancamentos!$C:$C,$C$5,Lancamentos!$F:$F,$B20)</f>
        <v>0</v>
      </c>
      <c r="D20" s="11">
        <f t="shared" si="0"/>
        <v>0</v>
      </c>
      <c r="E20" s="6">
        <f>IFERROR(INDEX(Orcamento!$B:$B,MATCH($B20,Orcamento!$A:$A,0)),0)</f>
        <v>0</v>
      </c>
      <c r="F20" s="6" t="str">
        <f t="shared" si="1"/>
        <v/>
      </c>
      <c r="H20" s="12" t="s">
        <v>32</v>
      </c>
      <c r="I20" s="6">
        <f>SUMIFS(Lancamentos!$L:$L,Lancamentos!$C:$C,$H20,Lancamentos!$D:$D,"Entrada")</f>
        <v>0</v>
      </c>
      <c r="J20" s="6">
        <f>SUMIFS(Lancamentos!$L:$L,Lancamentos!$C:$C,$H20,Lancamentos!$D:$D,"Saída")</f>
        <v>0</v>
      </c>
      <c r="K20" s="6">
        <f t="shared" si="2"/>
        <v>0</v>
      </c>
      <c r="L20" s="6">
        <f>SUM($K$15:K20)</f>
        <v>3599.55</v>
      </c>
    </row>
    <row r="21" spans="2:12" x14ac:dyDescent="0.25">
      <c r="B21" s="10" t="s">
        <v>33</v>
      </c>
      <c r="C21" s="6">
        <f>SUMIFS(Lancamentos!$L:$L,Lancamentos!$C:$C,$C$5,Lancamentos!$F:$F,$B21)</f>
        <v>0</v>
      </c>
      <c r="D21" s="11">
        <f t="shared" si="0"/>
        <v>0</v>
      </c>
      <c r="E21" s="6">
        <f>IFERROR(INDEX(Orcamento!$B:$B,MATCH($B21,Orcamento!$A:$A,0)),0)</f>
        <v>0</v>
      </c>
      <c r="F21" s="6" t="str">
        <f t="shared" si="1"/>
        <v/>
      </c>
      <c r="H21" s="12" t="s">
        <v>34</v>
      </c>
      <c r="I21" s="6">
        <f>SUMIFS(Lancamentos!$L:$L,Lancamentos!$C:$C,$H21,Lancamentos!$D:$D,"Entrada")</f>
        <v>0</v>
      </c>
      <c r="J21" s="6">
        <f>SUMIFS(Lancamentos!$L:$L,Lancamentos!$C:$C,$H21,Lancamentos!$D:$D,"Saída")</f>
        <v>0</v>
      </c>
      <c r="K21" s="6">
        <f t="shared" si="2"/>
        <v>0</v>
      </c>
      <c r="L21" s="6">
        <f>SUM($K$15:K21)</f>
        <v>3599.55</v>
      </c>
    </row>
    <row r="22" spans="2:12" x14ac:dyDescent="0.25">
      <c r="B22" s="10" t="s">
        <v>35</v>
      </c>
      <c r="C22" s="6">
        <f>SUMIFS(Lancamentos!$L:$L,Lancamentos!$C:$C,$C$5,Lancamentos!$F:$F,$B22)</f>
        <v>0</v>
      </c>
      <c r="D22" s="11">
        <f t="shared" si="0"/>
        <v>0</v>
      </c>
      <c r="E22" s="6">
        <f>IFERROR(INDEX(Orcamento!$B:$B,MATCH($B22,Orcamento!$A:$A,0)),0)</f>
        <v>0</v>
      </c>
      <c r="F22" s="6" t="str">
        <f t="shared" si="1"/>
        <v/>
      </c>
      <c r="H22" s="12" t="s">
        <v>36</v>
      </c>
      <c r="I22" s="6">
        <f>SUMIFS(Lancamentos!$L:$L,Lancamentos!$C:$C,$H22,Lancamentos!$D:$D,"Entrada")</f>
        <v>0</v>
      </c>
      <c r="J22" s="6">
        <f>SUMIFS(Lancamentos!$L:$L,Lancamentos!$C:$C,$H22,Lancamentos!$D:$D,"Saída")</f>
        <v>0</v>
      </c>
      <c r="K22" s="6">
        <f t="shared" si="2"/>
        <v>0</v>
      </c>
      <c r="L22" s="6">
        <f>SUM($K$15:K22)</f>
        <v>3599.55</v>
      </c>
    </row>
    <row r="23" spans="2:12" x14ac:dyDescent="0.25">
      <c r="B23" s="10" t="s">
        <v>37</v>
      </c>
      <c r="C23" s="6">
        <f>SUMIFS(Lancamentos!$L:$L,Lancamentos!$C:$C,$C$5,Lancamentos!$F:$F,$B23)</f>
        <v>0</v>
      </c>
      <c r="D23" s="11">
        <f t="shared" si="0"/>
        <v>0</v>
      </c>
      <c r="E23" s="6">
        <f>IFERROR(INDEX(Orcamento!$B:$B,MATCH($B23,Orcamento!$A:$A,0)),0)</f>
        <v>0</v>
      </c>
      <c r="F23" s="6" t="str">
        <f t="shared" si="1"/>
        <v/>
      </c>
      <c r="H23" s="12" t="s">
        <v>38</v>
      </c>
      <c r="I23" s="6">
        <f>SUMIFS(Lancamentos!$L:$L,Lancamentos!$C:$C,$H23,Lancamentos!$D:$D,"Entrada")</f>
        <v>0</v>
      </c>
      <c r="J23" s="6">
        <f>SUMIFS(Lancamentos!$L:$L,Lancamentos!$C:$C,$H23,Lancamentos!$D:$D,"Saída")</f>
        <v>0</v>
      </c>
      <c r="K23" s="6">
        <f t="shared" si="2"/>
        <v>0</v>
      </c>
      <c r="L23" s="6">
        <f>SUM($K$15:K23)</f>
        <v>3599.55</v>
      </c>
    </row>
    <row r="24" spans="2:12" x14ac:dyDescent="0.25">
      <c r="B24" s="10" t="s">
        <v>39</v>
      </c>
      <c r="C24" s="6">
        <f>SUMIFS(Lancamentos!$L:$L,Lancamentos!$C:$C,$C$5,Lancamentos!$F:$F,$B24)</f>
        <v>0</v>
      </c>
      <c r="D24" s="11">
        <f t="shared" si="0"/>
        <v>0</v>
      </c>
      <c r="E24" s="6">
        <f>IFERROR(INDEX(Orcamento!$B:$B,MATCH($B24,Orcamento!$A:$A,0)),0)</f>
        <v>0</v>
      </c>
      <c r="F24" s="6" t="str">
        <f t="shared" si="1"/>
        <v/>
      </c>
      <c r="H24" s="12" t="s">
        <v>40</v>
      </c>
      <c r="I24" s="6">
        <f>SUMIFS(Lancamentos!$L:$L,Lancamentos!$C:$C,$H24,Lancamentos!$D:$D,"Entrada")</f>
        <v>0</v>
      </c>
      <c r="J24" s="6">
        <f>SUMIFS(Lancamentos!$L:$L,Lancamentos!$C:$C,$H24,Lancamentos!$D:$D,"Saída")</f>
        <v>0</v>
      </c>
      <c r="K24" s="6">
        <f t="shared" si="2"/>
        <v>0</v>
      </c>
      <c r="L24" s="6">
        <f>SUM($K$15:K24)</f>
        <v>3599.55</v>
      </c>
    </row>
    <row r="25" spans="2:12" x14ac:dyDescent="0.25">
      <c r="B25" s="10" t="s">
        <v>41</v>
      </c>
      <c r="C25" s="6">
        <f>SUMIFS(Lancamentos!$L:$L,Lancamentos!$C:$C,$C$5,Lancamentos!$F:$F,$B25)</f>
        <v>0</v>
      </c>
      <c r="D25" s="11">
        <f t="shared" si="0"/>
        <v>0</v>
      </c>
      <c r="E25" s="6">
        <f>IFERROR(INDEX(Orcamento!$B:$B,MATCH($B25,Orcamento!$A:$A,0)),0)</f>
        <v>0</v>
      </c>
      <c r="F25" s="6" t="str">
        <f t="shared" si="1"/>
        <v/>
      </c>
      <c r="H25" s="12" t="s">
        <v>42</v>
      </c>
      <c r="I25" s="6">
        <f>SUMIFS(Lancamentos!$L:$L,Lancamentos!$C:$C,$H25,Lancamentos!$D:$D,"Entrada")</f>
        <v>0</v>
      </c>
      <c r="J25" s="6">
        <f>SUMIFS(Lancamentos!$L:$L,Lancamentos!$C:$C,$H25,Lancamentos!$D:$D,"Saída")</f>
        <v>0</v>
      </c>
      <c r="K25" s="6">
        <f t="shared" si="2"/>
        <v>0</v>
      </c>
      <c r="L25" s="6">
        <f>SUM($K$15:K25)</f>
        <v>3599.55</v>
      </c>
    </row>
    <row r="26" spans="2:12" x14ac:dyDescent="0.25">
      <c r="B26" s="10" t="s">
        <v>43</v>
      </c>
      <c r="C26" s="6">
        <f>SUMIFS(Lancamentos!$L:$L,Lancamentos!$C:$C,$C$5,Lancamentos!$F:$F,$B26)</f>
        <v>0</v>
      </c>
      <c r="D26" s="11">
        <f t="shared" si="0"/>
        <v>0</v>
      </c>
      <c r="E26" s="6">
        <f>IFERROR(INDEX(Orcamento!$B:$B,MATCH($B26,Orcamento!$A:$A,0)),0)</f>
        <v>0</v>
      </c>
      <c r="F26" s="6" t="str">
        <f t="shared" si="1"/>
        <v/>
      </c>
      <c r="H26" s="12" t="s">
        <v>44</v>
      </c>
      <c r="I26" s="6">
        <f>SUMIFS(Lancamentos!$L:$L,Lancamentos!$C:$C,$H26,Lancamentos!$D:$D,"Entrada")</f>
        <v>0</v>
      </c>
      <c r="J26" s="6">
        <f>SUMIFS(Lancamentos!$L:$L,Lancamentos!$C:$C,$H26,Lancamentos!$D:$D,"Saída")</f>
        <v>0</v>
      </c>
      <c r="K26" s="6">
        <f t="shared" si="2"/>
        <v>0</v>
      </c>
      <c r="L26" s="6">
        <f>SUM($K$15:K26)</f>
        <v>3599.55</v>
      </c>
    </row>
    <row r="27" spans="2:12" x14ac:dyDescent="0.25">
      <c r="B27" s="10" t="s">
        <v>45</v>
      </c>
      <c r="C27" s="6">
        <f>SUMIFS(Lancamentos!$L:$L,Lancamentos!$C:$C,$C$5,Lancamentos!$F:$F,$B27)</f>
        <v>0</v>
      </c>
      <c r="D27" s="11">
        <f t="shared" si="0"/>
        <v>0</v>
      </c>
      <c r="E27" s="6">
        <f>IFERROR(INDEX(Orcamento!$B:$B,MATCH($B27,Orcamento!$A:$A,0)),0)</f>
        <v>0</v>
      </c>
      <c r="F27" s="6" t="str">
        <f t="shared" si="1"/>
        <v/>
      </c>
      <c r="H27" s="13" t="s">
        <v>46</v>
      </c>
      <c r="I27" s="14">
        <f>SUM(I15:I26)</f>
        <v>7500</v>
      </c>
      <c r="J27" s="14">
        <f>SUM(J15:J26)</f>
        <v>3900.45</v>
      </c>
      <c r="K27" s="14">
        <f t="shared" si="2"/>
        <v>3599.55</v>
      </c>
      <c r="L27" s="14">
        <f>L26</f>
        <v>3599.55</v>
      </c>
    </row>
    <row r="28" spans="2:12" x14ac:dyDescent="0.25">
      <c r="B28" s="10" t="s">
        <v>47</v>
      </c>
      <c r="C28" s="6">
        <f>SUMIFS(Lancamentos!$L:$L,Lancamentos!$C:$C,$C$5,Lancamentos!$F:$F,$B28)</f>
        <v>0</v>
      </c>
      <c r="D28" s="11">
        <f t="shared" si="0"/>
        <v>0</v>
      </c>
      <c r="E28" s="6">
        <f>IFERROR(INDEX(Orcamento!$B:$B,MATCH($B28,Orcamento!$A:$A,0)),0)</f>
        <v>0</v>
      </c>
      <c r="F28" s="6" t="str">
        <f t="shared" si="1"/>
        <v/>
      </c>
    </row>
    <row r="29" spans="2:12" x14ac:dyDescent="0.25">
      <c r="B29" s="10" t="s">
        <v>48</v>
      </c>
      <c r="C29" s="6">
        <f>SUMIFS(Lancamentos!$L:$L,Lancamentos!$C:$C,$C$5,Lancamentos!$F:$F,$B29)</f>
        <v>0</v>
      </c>
      <c r="D29" s="11">
        <f t="shared" si="0"/>
        <v>0</v>
      </c>
      <c r="E29" s="6">
        <f>IFERROR(INDEX(Orcamento!$B:$B,MATCH($B29,Orcamento!$A:$A,0)),0)</f>
        <v>0</v>
      </c>
      <c r="F29" s="6" t="str">
        <f t="shared" si="1"/>
        <v/>
      </c>
    </row>
    <row r="30" spans="2:12" x14ac:dyDescent="0.25">
      <c r="B30" s="10" t="s">
        <v>49</v>
      </c>
      <c r="C30" s="6">
        <f>SUMIFS(Lancamentos!$L:$L,Lancamentos!$C:$C,$C$5,Lancamentos!$F:$F,$B30)</f>
        <v>0</v>
      </c>
      <c r="D30" s="11">
        <f t="shared" si="0"/>
        <v>0</v>
      </c>
      <c r="E30" s="6">
        <f>IFERROR(INDEX(Orcamento!$B:$B,MATCH($B30,Orcamento!$A:$A,0)),0)</f>
        <v>0</v>
      </c>
      <c r="F30" s="6" t="str">
        <f t="shared" si="1"/>
        <v/>
      </c>
      <c r="H30" s="2" t="s">
        <v>50</v>
      </c>
    </row>
    <row r="31" spans="2:12" x14ac:dyDescent="0.25">
      <c r="B31" s="10" t="s">
        <v>51</v>
      </c>
      <c r="C31" s="6">
        <f>SUMIFS(Lancamentos!$L:$L,Lancamentos!$C:$C,$C$5,Lancamentos!$F:$F,$B31)</f>
        <v>0</v>
      </c>
      <c r="D31" s="11">
        <f t="shared" si="0"/>
        <v>0</v>
      </c>
      <c r="E31" s="6">
        <f>IFERROR(INDEX(Orcamento!$B:$B,MATCH($B31,Orcamento!$A:$A,0)),0)</f>
        <v>0</v>
      </c>
      <c r="F31" s="6" t="str">
        <f t="shared" si="1"/>
        <v/>
      </c>
    </row>
    <row r="32" spans="2:12" x14ac:dyDescent="0.25">
      <c r="B32" s="10" t="s">
        <v>52</v>
      </c>
      <c r="C32" s="6">
        <f>SUMIFS(Lancamentos!$L:$L,Lancamentos!$C:$C,$C$5,Lancamentos!$F:$F,$B32)</f>
        <v>0</v>
      </c>
      <c r="D32" s="11">
        <f t="shared" si="0"/>
        <v>0</v>
      </c>
      <c r="E32" s="6">
        <f>IFERROR(INDEX(Orcamento!$B:$B,MATCH($B32,Orcamento!$A:$A,0)),0)</f>
        <v>0</v>
      </c>
      <c r="F32" s="6" t="str">
        <f t="shared" si="1"/>
        <v/>
      </c>
    </row>
    <row r="33" spans="2:6" x14ac:dyDescent="0.25">
      <c r="B33" s="10" t="s">
        <v>53</v>
      </c>
      <c r="C33" s="6">
        <f>SUMIFS(Lancamentos!$L:$L,Lancamentos!$C:$C,$C$5,Lancamentos!$F:$F,$B33)</f>
        <v>0</v>
      </c>
      <c r="D33" s="11">
        <f t="shared" si="0"/>
        <v>0</v>
      </c>
      <c r="E33" s="6">
        <f>IFERROR(INDEX(Orcamento!$B:$B,MATCH($B33,Orcamento!$A:$A,0)),0)</f>
        <v>0</v>
      </c>
      <c r="F33" s="6" t="str">
        <f t="shared" si="1"/>
        <v/>
      </c>
    </row>
    <row r="34" spans="2:6" x14ac:dyDescent="0.25">
      <c r="B34" s="10" t="s">
        <v>54</v>
      </c>
      <c r="C34" s="6">
        <f>SUMIFS(Lancamentos!$L:$L,Lancamentos!$C:$C,$C$5,Lancamentos!$F:$F,$B34)</f>
        <v>0</v>
      </c>
      <c r="D34" s="11">
        <f t="shared" si="0"/>
        <v>0</v>
      </c>
      <c r="E34" s="6">
        <f>IFERROR(INDEX(Orcamento!$B:$B,MATCH($B34,Orcamento!$A:$A,0)),0)</f>
        <v>0</v>
      </c>
      <c r="F34" s="6" t="str">
        <f t="shared" si="1"/>
        <v/>
      </c>
    </row>
    <row r="35" spans="2:6" x14ac:dyDescent="0.25">
      <c r="B35" s="10" t="s">
        <v>55</v>
      </c>
      <c r="C35" s="6">
        <f>SUMIFS(Lancamentos!$L:$L,Lancamentos!$C:$C,$C$5,Lancamentos!$F:$F,$B35)</f>
        <v>0</v>
      </c>
      <c r="D35" s="11">
        <f t="shared" si="0"/>
        <v>0</v>
      </c>
      <c r="E35" s="6">
        <f>IFERROR(INDEX(Orcamento!$B:$B,MATCH($B35,Orcamento!$A:$A,0)),0)</f>
        <v>0</v>
      </c>
      <c r="F35" s="6" t="str">
        <f t="shared" si="1"/>
        <v/>
      </c>
    </row>
    <row r="36" spans="2:6" x14ac:dyDescent="0.25">
      <c r="B36" s="10" t="s">
        <v>56</v>
      </c>
      <c r="C36" s="6">
        <f>SUMIFS(Lancamentos!$L:$L,Lancamentos!$C:$C,$C$5,Lancamentos!$F:$F,$B36)</f>
        <v>0</v>
      </c>
      <c r="D36" s="11">
        <f t="shared" si="0"/>
        <v>0</v>
      </c>
      <c r="E36" s="6">
        <f>IFERROR(INDEX(Orcamento!$B:$B,MATCH($B36,Orcamento!$A:$A,0)),0)</f>
        <v>0</v>
      </c>
      <c r="F36" s="6" t="str">
        <f t="shared" si="1"/>
        <v/>
      </c>
    </row>
    <row r="37" spans="2:6" x14ac:dyDescent="0.25">
      <c r="B37" s="10" t="s">
        <v>57</v>
      </c>
      <c r="C37" s="6">
        <f>SUMIFS(Lancamentos!$L:$L,Lancamentos!$C:$C,$C$5,Lancamentos!$F:$F,$B37)</f>
        <v>0</v>
      </c>
      <c r="D37" s="11">
        <f t="shared" si="0"/>
        <v>0</v>
      </c>
      <c r="E37" s="6">
        <f>IFERROR(INDEX(Orcamento!$B:$B,MATCH($B37,Orcamento!$A:$A,0)),0)</f>
        <v>0</v>
      </c>
      <c r="F37" s="6" t="str">
        <f t="shared" si="1"/>
        <v/>
      </c>
    </row>
    <row r="38" spans="2:6" x14ac:dyDescent="0.25">
      <c r="B38" s="13" t="s">
        <v>46</v>
      </c>
      <c r="C38" s="14">
        <f>SUM(C15:C37)</f>
        <v>3480.45</v>
      </c>
      <c r="D38" s="15">
        <f t="shared" si="0"/>
        <v>1</v>
      </c>
      <c r="E38" s="14">
        <f>SUM(E15:E37)</f>
        <v>0</v>
      </c>
      <c r="F38" s="14">
        <f>E38-C38</f>
        <v>-3480.45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Normal="100" workbookViewId="0">
      <pane ySplit="1" topLeftCell="A2" activePane="bottomLeft" state="frozen"/>
      <selection pane="bottomLeft" activeCell="J13" sqref="J13"/>
    </sheetView>
  </sheetViews>
  <sheetFormatPr defaultColWidth="8.7109375" defaultRowHeight="15" x14ac:dyDescent="0.25"/>
  <cols>
    <col min="1" max="1" width="16" customWidth="1"/>
    <col min="2" max="2" width="12" customWidth="1"/>
    <col min="3" max="3" width="13" customWidth="1"/>
    <col min="4" max="4" width="10" customWidth="1"/>
    <col min="5" max="5" width="34" customWidth="1"/>
    <col min="6" max="6" width="24" customWidth="1"/>
    <col min="7" max="7" width="14" customWidth="1"/>
    <col min="8" max="9" width="16" customWidth="1"/>
    <col min="10" max="10" width="9" customWidth="1"/>
    <col min="11" max="11" width="13" customWidth="1"/>
    <col min="12" max="12" width="12" customWidth="1"/>
    <col min="13" max="13" width="9" customWidth="1"/>
    <col min="14" max="14" width="26" customWidth="1"/>
  </cols>
  <sheetData>
    <row r="1" spans="1:14" ht="21.75" customHeight="1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</row>
    <row r="2" spans="1:14" x14ac:dyDescent="0.25">
      <c r="A2" s="17" t="s">
        <v>72</v>
      </c>
      <c r="B2" s="18" t="s">
        <v>73</v>
      </c>
      <c r="C2" s="18" t="s">
        <v>3</v>
      </c>
      <c r="D2" s="18" t="s">
        <v>74</v>
      </c>
      <c r="E2" s="17" t="s">
        <v>75</v>
      </c>
      <c r="F2" s="17" t="s">
        <v>76</v>
      </c>
      <c r="G2" s="17" t="s">
        <v>77</v>
      </c>
      <c r="H2" s="17" t="s">
        <v>78</v>
      </c>
      <c r="I2" s="17"/>
      <c r="J2" s="18">
        <v>1</v>
      </c>
      <c r="K2" s="18">
        <v>1</v>
      </c>
      <c r="L2" s="19">
        <v>7500</v>
      </c>
      <c r="M2" s="18" t="s">
        <v>79</v>
      </c>
      <c r="N2" s="17" t="s">
        <v>80</v>
      </c>
    </row>
    <row r="3" spans="1:14" x14ac:dyDescent="0.25">
      <c r="A3" s="17" t="s">
        <v>81</v>
      </c>
      <c r="B3" s="18" t="s">
        <v>82</v>
      </c>
      <c r="C3" s="18" t="s">
        <v>3</v>
      </c>
      <c r="D3" s="18" t="s">
        <v>83</v>
      </c>
      <c r="E3" s="17" t="s">
        <v>84</v>
      </c>
      <c r="F3" s="17" t="s">
        <v>22</v>
      </c>
      <c r="G3" s="17" t="s">
        <v>85</v>
      </c>
      <c r="H3" s="17" t="s">
        <v>86</v>
      </c>
      <c r="I3" s="17"/>
      <c r="J3" s="18">
        <v>1</v>
      </c>
      <c r="K3" s="18">
        <v>1</v>
      </c>
      <c r="L3" s="19">
        <v>2200</v>
      </c>
      <c r="M3" s="18" t="s">
        <v>79</v>
      </c>
      <c r="N3" s="17" t="s">
        <v>80</v>
      </c>
    </row>
    <row r="4" spans="1:14" x14ac:dyDescent="0.25">
      <c r="A4" s="17" t="s">
        <v>87</v>
      </c>
      <c r="B4" s="18" t="s">
        <v>88</v>
      </c>
      <c r="C4" s="18" t="s">
        <v>3</v>
      </c>
      <c r="D4" s="18" t="s">
        <v>83</v>
      </c>
      <c r="E4" s="17" t="s">
        <v>89</v>
      </c>
      <c r="F4" s="17" t="s">
        <v>29</v>
      </c>
      <c r="G4" s="17" t="s">
        <v>90</v>
      </c>
      <c r="H4" s="17" t="s">
        <v>91</v>
      </c>
      <c r="I4" s="17" t="s">
        <v>92</v>
      </c>
      <c r="J4" s="18">
        <v>1</v>
      </c>
      <c r="K4" s="18">
        <v>1</v>
      </c>
      <c r="L4" s="19">
        <v>860.45</v>
      </c>
      <c r="M4" s="18" t="s">
        <v>93</v>
      </c>
      <c r="N4" s="17" t="s">
        <v>80</v>
      </c>
    </row>
    <row r="5" spans="1:14" x14ac:dyDescent="0.25">
      <c r="A5" s="17" t="s">
        <v>94</v>
      </c>
      <c r="B5" s="18" t="s">
        <v>95</v>
      </c>
      <c r="C5" s="18" t="s">
        <v>3</v>
      </c>
      <c r="D5" s="18" t="s">
        <v>83</v>
      </c>
      <c r="E5" s="17" t="s">
        <v>96</v>
      </c>
      <c r="F5" s="17" t="s">
        <v>27</v>
      </c>
      <c r="G5" s="17" t="s">
        <v>85</v>
      </c>
      <c r="H5" s="17" t="s">
        <v>91</v>
      </c>
      <c r="I5" s="17" t="s">
        <v>97</v>
      </c>
      <c r="J5" s="18">
        <v>1</v>
      </c>
      <c r="K5" s="18">
        <v>10</v>
      </c>
      <c r="L5" s="19">
        <v>420</v>
      </c>
      <c r="M5" s="18" t="s">
        <v>93</v>
      </c>
      <c r="N5" s="17" t="s">
        <v>98</v>
      </c>
    </row>
    <row r="6" spans="1:14" x14ac:dyDescent="0.25">
      <c r="A6" s="17" t="s">
        <v>99</v>
      </c>
      <c r="B6" s="18" t="s">
        <v>95</v>
      </c>
      <c r="C6" s="18" t="s">
        <v>24</v>
      </c>
      <c r="D6" s="18" t="s">
        <v>83</v>
      </c>
      <c r="E6" s="17" t="s">
        <v>100</v>
      </c>
      <c r="F6" s="17" t="s">
        <v>27</v>
      </c>
      <c r="G6" s="17" t="s">
        <v>85</v>
      </c>
      <c r="H6" s="17" t="s">
        <v>91</v>
      </c>
      <c r="I6" s="17" t="s">
        <v>97</v>
      </c>
      <c r="J6" s="18">
        <v>2</v>
      </c>
      <c r="K6" s="18">
        <v>10</v>
      </c>
      <c r="L6" s="19">
        <v>420</v>
      </c>
      <c r="M6" s="18" t="s">
        <v>93</v>
      </c>
      <c r="N6" s="17" t="s">
        <v>101</v>
      </c>
    </row>
  </sheetData>
  <dataValidations count="3">
    <dataValidation type="list" allowBlank="1" sqref="D2:D1006" xr:uid="{00000000-0002-0000-0100-000000000000}">
      <formula1>"Entrada,Saída"</formula1>
      <formula2>0</formula2>
    </dataValidation>
    <dataValidation type="list" allowBlank="1" sqref="H2:H1006" xr:uid="{00000000-0002-0000-0100-000002000000}">
      <formula1>"Dinheiro,Débito,Pix,Boleto,Crédito,Transferência"</formula1>
      <formula2>0</formula2>
    </dataValidation>
    <dataValidation type="list" allowBlank="1" sqref="M2:M1006" xr:uid="{00000000-0002-0000-0100-000004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Categorias!$A$2:$A$28</xm:f>
          </x14:formula1>
          <x14:formula2>
            <xm:f>0</xm:f>
          </x14:formula2>
          <xm:sqref>F2:F1006</xm:sqref>
        </x14:dataValidation>
        <x14:dataValidation type="list" allowBlank="1" xr:uid="{00000000-0002-0000-0100-000003000000}">
          <x14:formula1>
            <xm:f>Cartoes!$A$2:$A$4</xm:f>
          </x14:formula1>
          <x14:formula2>
            <xm:f>0</xm:f>
          </x14:formula2>
          <xm:sqref>I2:I1006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Normal="100" workbookViewId="0">
      <pane ySplit="1" topLeftCell="A2" activePane="bottomLeft" state="frozen"/>
      <selection pane="bottomLeft" activeCell="B17" sqref="B17"/>
    </sheetView>
  </sheetViews>
  <sheetFormatPr defaultColWidth="8.7109375" defaultRowHeight="15" x14ac:dyDescent="0.25"/>
  <cols>
    <col min="1" max="1" width="34" customWidth="1"/>
    <col min="2" max="2" width="16" customWidth="1"/>
    <col min="3" max="4" width="12" customWidth="1"/>
  </cols>
  <sheetData>
    <row r="1" spans="1:4" x14ac:dyDescent="0.25">
      <c r="A1" s="20" t="s">
        <v>63</v>
      </c>
      <c r="B1" s="20" t="s">
        <v>64</v>
      </c>
      <c r="C1" s="20" t="s">
        <v>61</v>
      </c>
      <c r="D1" s="20" t="s">
        <v>102</v>
      </c>
    </row>
    <row r="2" spans="1:4" x14ac:dyDescent="0.25">
      <c r="A2" s="10" t="s">
        <v>22</v>
      </c>
      <c r="B2" s="12" t="s">
        <v>85</v>
      </c>
      <c r="C2" s="12" t="s">
        <v>83</v>
      </c>
      <c r="D2" s="12" t="s">
        <v>79</v>
      </c>
    </row>
    <row r="3" spans="1:4" x14ac:dyDescent="0.25">
      <c r="A3" s="10" t="s">
        <v>23</v>
      </c>
      <c r="B3" s="12" t="s">
        <v>85</v>
      </c>
      <c r="C3" s="12" t="s">
        <v>83</v>
      </c>
      <c r="D3" s="12" t="s">
        <v>79</v>
      </c>
    </row>
    <row r="4" spans="1:4" x14ac:dyDescent="0.25">
      <c r="A4" s="10" t="s">
        <v>25</v>
      </c>
      <c r="B4" s="12" t="s">
        <v>85</v>
      </c>
      <c r="C4" s="12" t="s">
        <v>83</v>
      </c>
      <c r="D4" s="12" t="s">
        <v>79</v>
      </c>
    </row>
    <row r="5" spans="1:4" x14ac:dyDescent="0.25">
      <c r="A5" s="10" t="s">
        <v>27</v>
      </c>
      <c r="B5" s="12" t="s">
        <v>85</v>
      </c>
      <c r="C5" s="12" t="s">
        <v>83</v>
      </c>
      <c r="D5" s="12" t="s">
        <v>93</v>
      </c>
    </row>
    <row r="6" spans="1:4" x14ac:dyDescent="0.25">
      <c r="A6" s="10" t="s">
        <v>29</v>
      </c>
      <c r="B6" s="12" t="s">
        <v>90</v>
      </c>
      <c r="C6" s="12" t="s">
        <v>83</v>
      </c>
      <c r="D6" s="12" t="s">
        <v>79</v>
      </c>
    </row>
    <row r="7" spans="1:4" x14ac:dyDescent="0.25">
      <c r="A7" s="10" t="s">
        <v>31</v>
      </c>
      <c r="B7" s="12" t="s">
        <v>90</v>
      </c>
      <c r="C7" s="12" t="s">
        <v>83</v>
      </c>
      <c r="D7" s="12" t="s">
        <v>93</v>
      </c>
    </row>
    <row r="8" spans="1:4" x14ac:dyDescent="0.25">
      <c r="A8" s="10" t="s">
        <v>33</v>
      </c>
      <c r="B8" s="12" t="s">
        <v>103</v>
      </c>
      <c r="C8" s="12" t="s">
        <v>83</v>
      </c>
      <c r="D8" s="12" t="s">
        <v>79</v>
      </c>
    </row>
    <row r="9" spans="1:4" x14ac:dyDescent="0.25">
      <c r="A9" s="10" t="s">
        <v>35</v>
      </c>
      <c r="B9" s="12" t="s">
        <v>103</v>
      </c>
      <c r="C9" s="12" t="s">
        <v>83</v>
      </c>
      <c r="D9" s="12" t="s">
        <v>93</v>
      </c>
    </row>
    <row r="10" spans="1:4" x14ac:dyDescent="0.25">
      <c r="A10" s="10" t="s">
        <v>37</v>
      </c>
      <c r="B10" s="12" t="s">
        <v>103</v>
      </c>
      <c r="C10" s="12" t="s">
        <v>83</v>
      </c>
      <c r="D10" s="12" t="s">
        <v>79</v>
      </c>
    </row>
    <row r="11" spans="1:4" x14ac:dyDescent="0.25">
      <c r="A11" s="10" t="s">
        <v>39</v>
      </c>
      <c r="B11" s="12" t="s">
        <v>104</v>
      </c>
      <c r="C11" s="12" t="s">
        <v>83</v>
      </c>
      <c r="D11" s="12" t="s">
        <v>79</v>
      </c>
    </row>
    <row r="12" spans="1:4" x14ac:dyDescent="0.25">
      <c r="A12" s="10" t="s">
        <v>41</v>
      </c>
      <c r="B12" s="12" t="s">
        <v>104</v>
      </c>
      <c r="C12" s="12" t="s">
        <v>83</v>
      </c>
      <c r="D12" s="12" t="s">
        <v>79</v>
      </c>
    </row>
    <row r="13" spans="1:4" x14ac:dyDescent="0.25">
      <c r="A13" s="10" t="s">
        <v>43</v>
      </c>
      <c r="B13" s="12" t="s">
        <v>43</v>
      </c>
      <c r="C13" s="12" t="s">
        <v>83</v>
      </c>
      <c r="D13" s="12" t="s">
        <v>79</v>
      </c>
    </row>
    <row r="14" spans="1:4" x14ac:dyDescent="0.25">
      <c r="A14" s="10" t="s">
        <v>45</v>
      </c>
      <c r="B14" s="12" t="s">
        <v>105</v>
      </c>
      <c r="C14" s="12" t="s">
        <v>83</v>
      </c>
      <c r="D14" s="12" t="s">
        <v>93</v>
      </c>
    </row>
    <row r="15" spans="1:4" x14ac:dyDescent="0.25">
      <c r="A15" s="10" t="s">
        <v>47</v>
      </c>
      <c r="B15" s="12" t="s">
        <v>105</v>
      </c>
      <c r="C15" s="12" t="s">
        <v>83</v>
      </c>
      <c r="D15" s="12" t="s">
        <v>93</v>
      </c>
    </row>
    <row r="16" spans="1:4" x14ac:dyDescent="0.25">
      <c r="A16" s="10" t="s">
        <v>48</v>
      </c>
      <c r="B16" s="12" t="s">
        <v>105</v>
      </c>
      <c r="C16" s="12" t="s">
        <v>83</v>
      </c>
      <c r="D16" s="12" t="s">
        <v>93</v>
      </c>
    </row>
    <row r="17" spans="1:4" x14ac:dyDescent="0.25">
      <c r="A17" s="10" t="s">
        <v>49</v>
      </c>
      <c r="B17" s="12" t="s">
        <v>105</v>
      </c>
      <c r="C17" s="12" t="s">
        <v>83</v>
      </c>
      <c r="D17" s="12" t="s">
        <v>93</v>
      </c>
    </row>
    <row r="18" spans="1:4" x14ac:dyDescent="0.25">
      <c r="A18" s="10" t="s">
        <v>51</v>
      </c>
      <c r="B18" s="12" t="s">
        <v>105</v>
      </c>
      <c r="C18" s="12" t="s">
        <v>83</v>
      </c>
      <c r="D18" s="12" t="s">
        <v>93</v>
      </c>
    </row>
    <row r="19" spans="1:4" x14ac:dyDescent="0.25">
      <c r="A19" s="10" t="s">
        <v>52</v>
      </c>
      <c r="B19" s="12" t="s">
        <v>105</v>
      </c>
      <c r="C19" s="12" t="s">
        <v>83</v>
      </c>
      <c r="D19" s="12" t="s">
        <v>93</v>
      </c>
    </row>
    <row r="20" spans="1:4" x14ac:dyDescent="0.25">
      <c r="A20" s="10" t="s">
        <v>53</v>
      </c>
      <c r="B20" s="12" t="s">
        <v>106</v>
      </c>
      <c r="C20" s="12" t="s">
        <v>83</v>
      </c>
      <c r="D20" s="12" t="s">
        <v>79</v>
      </c>
    </row>
    <row r="21" spans="1:4" x14ac:dyDescent="0.25">
      <c r="A21" s="10" t="s">
        <v>54</v>
      </c>
      <c r="B21" s="12" t="s">
        <v>106</v>
      </c>
      <c r="C21" s="12" t="s">
        <v>83</v>
      </c>
      <c r="D21" s="12" t="s">
        <v>79</v>
      </c>
    </row>
    <row r="22" spans="1:4" x14ac:dyDescent="0.25">
      <c r="A22" s="10" t="s">
        <v>55</v>
      </c>
      <c r="B22" s="12" t="s">
        <v>106</v>
      </c>
      <c r="C22" s="12" t="s">
        <v>83</v>
      </c>
      <c r="D22" s="12" t="s">
        <v>79</v>
      </c>
    </row>
    <row r="23" spans="1:4" x14ac:dyDescent="0.25">
      <c r="A23" s="10" t="s">
        <v>56</v>
      </c>
      <c r="B23" s="12" t="s">
        <v>106</v>
      </c>
      <c r="C23" s="12" t="s">
        <v>83</v>
      </c>
      <c r="D23" s="12" t="s">
        <v>93</v>
      </c>
    </row>
    <row r="24" spans="1:4" x14ac:dyDescent="0.25">
      <c r="A24" s="10" t="s">
        <v>57</v>
      </c>
      <c r="B24" s="12" t="s">
        <v>57</v>
      </c>
      <c r="C24" s="12" t="s">
        <v>83</v>
      </c>
      <c r="D24" s="12" t="s">
        <v>93</v>
      </c>
    </row>
    <row r="25" spans="1:4" x14ac:dyDescent="0.25">
      <c r="A25" s="10" t="s">
        <v>76</v>
      </c>
      <c r="B25" s="12" t="s">
        <v>77</v>
      </c>
      <c r="C25" s="12" t="s">
        <v>74</v>
      </c>
      <c r="D25" s="12" t="s">
        <v>107</v>
      </c>
    </row>
    <row r="26" spans="1:4" x14ac:dyDescent="0.25">
      <c r="A26" s="10" t="s">
        <v>108</v>
      </c>
      <c r="B26" s="12" t="s">
        <v>77</v>
      </c>
      <c r="C26" s="12" t="s">
        <v>74</v>
      </c>
      <c r="D26" s="12" t="s">
        <v>107</v>
      </c>
    </row>
    <row r="27" spans="1:4" x14ac:dyDescent="0.25">
      <c r="A27" s="10" t="s">
        <v>109</v>
      </c>
      <c r="B27" s="12" t="s">
        <v>77</v>
      </c>
      <c r="C27" s="12" t="s">
        <v>74</v>
      </c>
      <c r="D27" s="12" t="s">
        <v>107</v>
      </c>
    </row>
    <row r="28" spans="1:4" x14ac:dyDescent="0.25">
      <c r="A28" s="10" t="s">
        <v>110</v>
      </c>
      <c r="B28" s="12" t="s">
        <v>77</v>
      </c>
      <c r="C28" s="12" t="s">
        <v>74</v>
      </c>
      <c r="D28" s="12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7109375" defaultRowHeight="15" x14ac:dyDescent="0.25"/>
  <cols>
    <col min="1" max="1" width="20" customWidth="1"/>
    <col min="2" max="2" width="16" customWidth="1"/>
    <col min="3" max="4" width="18" customWidth="1"/>
    <col min="5" max="5" width="14" customWidth="1"/>
  </cols>
  <sheetData>
    <row r="1" spans="1:5" x14ac:dyDescent="0.25">
      <c r="A1" s="20" t="s">
        <v>66</v>
      </c>
      <c r="B1" s="20" t="s">
        <v>111</v>
      </c>
      <c r="C1" s="20" t="s">
        <v>112</v>
      </c>
      <c r="D1" s="20" t="s">
        <v>113</v>
      </c>
      <c r="E1" s="20" t="s">
        <v>114</v>
      </c>
    </row>
    <row r="2" spans="1:5" x14ac:dyDescent="0.25">
      <c r="A2" s="10" t="s">
        <v>92</v>
      </c>
      <c r="B2" s="12" t="s">
        <v>115</v>
      </c>
      <c r="C2" s="12">
        <v>3</v>
      </c>
      <c r="D2" s="12">
        <v>10</v>
      </c>
      <c r="E2" s="21">
        <v>0</v>
      </c>
    </row>
    <row r="3" spans="1:5" x14ac:dyDescent="0.25">
      <c r="A3" s="10" t="s">
        <v>97</v>
      </c>
      <c r="B3" s="12" t="s">
        <v>115</v>
      </c>
      <c r="C3" s="12">
        <v>8</v>
      </c>
      <c r="D3" s="12">
        <v>12</v>
      </c>
      <c r="E3" s="21">
        <v>0</v>
      </c>
    </row>
    <row r="4" spans="1:5" x14ac:dyDescent="0.25">
      <c r="A4" s="10" t="s">
        <v>116</v>
      </c>
      <c r="B4" s="12" t="s">
        <v>117</v>
      </c>
      <c r="C4" s="12">
        <v>20</v>
      </c>
      <c r="D4" s="12">
        <v>24</v>
      </c>
      <c r="E4" s="2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zoomScaleNormal="100" workbookViewId="0">
      <pane ySplit="1" topLeftCell="A2" activePane="bottomLeft" state="frozen"/>
      <selection pane="bottomLeft" activeCell="F20" sqref="F20"/>
    </sheetView>
  </sheetViews>
  <sheetFormatPr defaultColWidth="8.7109375" defaultRowHeight="15" x14ac:dyDescent="0.25"/>
  <cols>
    <col min="1" max="1" width="34" customWidth="1"/>
    <col min="2" max="2" width="18" customWidth="1"/>
  </cols>
  <sheetData>
    <row r="1" spans="1:2" x14ac:dyDescent="0.25">
      <c r="A1" s="20" t="s">
        <v>63</v>
      </c>
      <c r="B1" s="20" t="s">
        <v>118</v>
      </c>
    </row>
    <row r="2" spans="1:2" x14ac:dyDescent="0.25">
      <c r="A2" s="10" t="s">
        <v>22</v>
      </c>
      <c r="B2" s="22">
        <v>0</v>
      </c>
    </row>
    <row r="3" spans="1:2" x14ac:dyDescent="0.25">
      <c r="A3" s="10" t="s">
        <v>23</v>
      </c>
      <c r="B3" s="22">
        <v>0</v>
      </c>
    </row>
    <row r="4" spans="1:2" x14ac:dyDescent="0.25">
      <c r="A4" s="10" t="s">
        <v>25</v>
      </c>
      <c r="B4" s="22">
        <v>0</v>
      </c>
    </row>
    <row r="5" spans="1:2" x14ac:dyDescent="0.25">
      <c r="A5" s="10" t="s">
        <v>27</v>
      </c>
      <c r="B5" s="22">
        <v>0</v>
      </c>
    </row>
    <row r="6" spans="1:2" x14ac:dyDescent="0.25">
      <c r="A6" s="10" t="s">
        <v>29</v>
      </c>
      <c r="B6" s="22">
        <v>0</v>
      </c>
    </row>
    <row r="7" spans="1:2" x14ac:dyDescent="0.25">
      <c r="A7" s="10" t="s">
        <v>31</v>
      </c>
      <c r="B7" s="22">
        <v>0</v>
      </c>
    </row>
    <row r="8" spans="1:2" x14ac:dyDescent="0.25">
      <c r="A8" s="10" t="s">
        <v>33</v>
      </c>
      <c r="B8" s="22">
        <v>0</v>
      </c>
    </row>
    <row r="9" spans="1:2" x14ac:dyDescent="0.25">
      <c r="A9" s="10" t="s">
        <v>35</v>
      </c>
      <c r="B9" s="22">
        <v>0</v>
      </c>
    </row>
    <row r="10" spans="1:2" x14ac:dyDescent="0.25">
      <c r="A10" s="10" t="s">
        <v>37</v>
      </c>
      <c r="B10" s="22">
        <v>0</v>
      </c>
    </row>
    <row r="11" spans="1:2" x14ac:dyDescent="0.25">
      <c r="A11" s="10" t="s">
        <v>39</v>
      </c>
      <c r="B11" s="22">
        <v>0</v>
      </c>
    </row>
    <row r="12" spans="1:2" x14ac:dyDescent="0.25">
      <c r="A12" s="10" t="s">
        <v>41</v>
      </c>
      <c r="B12" s="22">
        <v>0</v>
      </c>
    </row>
    <row r="13" spans="1:2" x14ac:dyDescent="0.25">
      <c r="A13" s="10" t="s">
        <v>43</v>
      </c>
      <c r="B13" s="22">
        <v>0</v>
      </c>
    </row>
    <row r="14" spans="1:2" x14ac:dyDescent="0.25">
      <c r="A14" s="10" t="s">
        <v>45</v>
      </c>
      <c r="B14" s="22">
        <v>0</v>
      </c>
    </row>
    <row r="15" spans="1:2" x14ac:dyDescent="0.25">
      <c r="A15" s="10" t="s">
        <v>47</v>
      </c>
      <c r="B15" s="22">
        <v>0</v>
      </c>
    </row>
    <row r="16" spans="1:2" x14ac:dyDescent="0.25">
      <c r="A16" s="10" t="s">
        <v>48</v>
      </c>
      <c r="B16" s="22">
        <v>0</v>
      </c>
    </row>
    <row r="17" spans="1:2" x14ac:dyDescent="0.25">
      <c r="A17" s="10" t="s">
        <v>49</v>
      </c>
      <c r="B17" s="22">
        <v>0</v>
      </c>
    </row>
    <row r="18" spans="1:2" x14ac:dyDescent="0.25">
      <c r="A18" s="10" t="s">
        <v>51</v>
      </c>
      <c r="B18" s="22">
        <v>0</v>
      </c>
    </row>
    <row r="19" spans="1:2" x14ac:dyDescent="0.25">
      <c r="A19" s="10" t="s">
        <v>52</v>
      </c>
      <c r="B19" s="22">
        <v>0</v>
      </c>
    </row>
    <row r="20" spans="1:2" x14ac:dyDescent="0.25">
      <c r="A20" s="10" t="s">
        <v>53</v>
      </c>
      <c r="B20" s="22">
        <v>0</v>
      </c>
    </row>
    <row r="21" spans="1:2" x14ac:dyDescent="0.25">
      <c r="A21" s="10" t="s">
        <v>54</v>
      </c>
      <c r="B21" s="22">
        <v>0</v>
      </c>
    </row>
    <row r="22" spans="1:2" x14ac:dyDescent="0.25">
      <c r="A22" s="10" t="s">
        <v>55</v>
      </c>
      <c r="B22" s="22">
        <v>0</v>
      </c>
    </row>
    <row r="23" spans="1:2" x14ac:dyDescent="0.25">
      <c r="A23" s="10" t="s">
        <v>56</v>
      </c>
      <c r="B23" s="22">
        <v>0</v>
      </c>
    </row>
    <row r="24" spans="1:2" x14ac:dyDescent="0.25">
      <c r="A24" s="10" t="s">
        <v>57</v>
      </c>
      <c r="B24" s="22">
        <v>0</v>
      </c>
    </row>
    <row r="26" spans="1:2" x14ac:dyDescent="0.25">
      <c r="A26" s="2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33"/>
  <sheetViews>
    <sheetView showGridLines="0" zoomScaleNormal="100" workbookViewId="0">
      <selection activeCell="B37" sqref="B37"/>
    </sheetView>
  </sheetViews>
  <sheetFormatPr defaultColWidth="8.7109375" defaultRowHeight="15" x14ac:dyDescent="0.25"/>
  <cols>
    <col min="2" max="2" width="118" customWidth="1"/>
  </cols>
  <sheetData>
    <row r="2" spans="2:2" ht="20.25" x14ac:dyDescent="0.3">
      <c r="B2" s="1" t="s">
        <v>120</v>
      </c>
    </row>
    <row r="3" spans="2:2" x14ac:dyDescent="0.25">
      <c r="B3" s="23"/>
    </row>
    <row r="4" spans="2:2" x14ac:dyDescent="0.25">
      <c r="B4" s="23" t="s">
        <v>121</v>
      </c>
    </row>
    <row r="5" spans="2:2" x14ac:dyDescent="0.25">
      <c r="B5" s="23" t="s">
        <v>122</v>
      </c>
    </row>
    <row r="6" spans="2:2" x14ac:dyDescent="0.25">
      <c r="B6" s="23"/>
    </row>
    <row r="7" spans="2:2" x14ac:dyDescent="0.25">
      <c r="B7" s="24" t="s">
        <v>123</v>
      </c>
    </row>
    <row r="8" spans="2:2" x14ac:dyDescent="0.25">
      <c r="B8" s="23" t="s">
        <v>124</v>
      </c>
    </row>
    <row r="9" spans="2:2" x14ac:dyDescent="0.25">
      <c r="B9" s="23" t="s">
        <v>125</v>
      </c>
    </row>
    <row r="10" spans="2:2" x14ac:dyDescent="0.25">
      <c r="B10" s="23" t="s">
        <v>126</v>
      </c>
    </row>
    <row r="11" spans="2:2" x14ac:dyDescent="0.25">
      <c r="B11" s="23" t="s">
        <v>127</v>
      </c>
    </row>
    <row r="12" spans="2:2" x14ac:dyDescent="0.25">
      <c r="B12" s="23" t="s">
        <v>128</v>
      </c>
    </row>
    <row r="13" spans="2:2" x14ac:dyDescent="0.25">
      <c r="B13" s="23" t="s">
        <v>129</v>
      </c>
    </row>
    <row r="14" spans="2:2" x14ac:dyDescent="0.25">
      <c r="B14" s="23" t="s">
        <v>130</v>
      </c>
    </row>
    <row r="15" spans="2:2" x14ac:dyDescent="0.25">
      <c r="B15" s="23" t="s">
        <v>131</v>
      </c>
    </row>
    <row r="16" spans="2:2" x14ac:dyDescent="0.25">
      <c r="B16" s="23" t="s">
        <v>132</v>
      </c>
    </row>
    <row r="17" spans="2:2" x14ac:dyDescent="0.25">
      <c r="B17" s="23" t="s">
        <v>133</v>
      </c>
    </row>
    <row r="18" spans="2:2" x14ac:dyDescent="0.25">
      <c r="B18" s="23" t="s">
        <v>134</v>
      </c>
    </row>
    <row r="19" spans="2:2" x14ac:dyDescent="0.25">
      <c r="B19" s="23" t="s">
        <v>135</v>
      </c>
    </row>
    <row r="20" spans="2:2" x14ac:dyDescent="0.25">
      <c r="B20" s="23" t="s">
        <v>136</v>
      </c>
    </row>
    <row r="21" spans="2:2" x14ac:dyDescent="0.25">
      <c r="B21" s="23"/>
    </row>
    <row r="22" spans="2:2" x14ac:dyDescent="0.25">
      <c r="B22" s="24" t="s">
        <v>137</v>
      </c>
    </row>
    <row r="23" spans="2:2" x14ac:dyDescent="0.25">
      <c r="B23" s="23" t="s">
        <v>138</v>
      </c>
    </row>
    <row r="24" spans="2:2" x14ac:dyDescent="0.25">
      <c r="B24" s="23" t="s">
        <v>139</v>
      </c>
    </row>
    <row r="25" spans="2:2" x14ac:dyDescent="0.25">
      <c r="B25" s="23" t="s">
        <v>140</v>
      </c>
    </row>
    <row r="26" spans="2:2" x14ac:dyDescent="0.25">
      <c r="B26" s="23" t="s">
        <v>141</v>
      </c>
    </row>
    <row r="27" spans="2:2" x14ac:dyDescent="0.25">
      <c r="B27" s="23" t="s">
        <v>142</v>
      </c>
    </row>
    <row r="28" spans="2:2" x14ac:dyDescent="0.25">
      <c r="B28" s="23" t="s">
        <v>143</v>
      </c>
    </row>
    <row r="29" spans="2:2" x14ac:dyDescent="0.25">
      <c r="B29" s="23"/>
    </row>
    <row r="30" spans="2:2" x14ac:dyDescent="0.25">
      <c r="B30" s="24" t="s">
        <v>144</v>
      </c>
    </row>
    <row r="31" spans="2:2" x14ac:dyDescent="0.25">
      <c r="B31" s="23" t="s">
        <v>145</v>
      </c>
    </row>
    <row r="32" spans="2:2" x14ac:dyDescent="0.25">
      <c r="B32" s="23" t="s">
        <v>146</v>
      </c>
    </row>
    <row r="33" spans="2:2" x14ac:dyDescent="0.25">
      <c r="B33" s="23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Lancamentos</vt:lpstr>
      <vt:lpstr>Categorias</vt:lpstr>
      <vt:lpstr>Cartoes</vt:lpstr>
      <vt:lpstr>Orcamento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Ricardo Prazeres</cp:lastModifiedBy>
  <cp:revision>0</cp:revision>
  <dcterms:created xsi:type="dcterms:W3CDTF">2026-07-31T12:34:13Z</dcterms:created>
  <dcterms:modified xsi:type="dcterms:W3CDTF">2026-07-31T12:56:39Z</dcterms:modified>
  <dc:language>en-US</dc:language>
</cp:coreProperties>
</file>