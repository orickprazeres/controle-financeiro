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LUCENA\Desktop\"/>
    </mc:Choice>
  </mc:AlternateContent>
  <xr:revisionPtr revIDLastSave="0" documentId="13_ncr:1_{822EB518-3966-400A-8041-BA8F51F4DB50}" xr6:coauthVersionLast="47" xr6:coauthVersionMax="47" xr10:uidLastSave="{00000000-0000-0000-0000-000000000000}"/>
  <bookViews>
    <workbookView xWindow="-120" yWindow="-120" windowWidth="29040" windowHeight="15720" tabRatio="919" firstSheet="4" activeTab="15" xr2:uid="{00000000-000D-0000-FFFF-FFFF00000000}"/>
  </bookViews>
  <sheets>
    <sheet name="Resumo" sheetId="1" r:id="rId1"/>
    <sheet name="Janeiro" sheetId="4" r:id="rId2"/>
    <sheet name="Janeiro-Cartão" sheetId="5" r:id="rId3"/>
    <sheet name="Fevereiro" sheetId="6" r:id="rId4"/>
    <sheet name="Fevereiro-Cartão" sheetId="7" r:id="rId5"/>
    <sheet name="Março" sheetId="8" r:id="rId6"/>
    <sheet name="Março-Cartão" sheetId="9" r:id="rId7"/>
    <sheet name="Abril" sheetId="10" r:id="rId8"/>
    <sheet name="Abril-Cartão" sheetId="11" r:id="rId9"/>
    <sheet name="Maio" sheetId="12" r:id="rId10"/>
    <sheet name="Maio-Cartão" sheetId="13" r:id="rId11"/>
    <sheet name="Junho" sheetId="14" r:id="rId12"/>
    <sheet name="Junho-Cartão" sheetId="15" r:id="rId13"/>
    <sheet name="Julho" sheetId="2" r:id="rId14"/>
    <sheet name="Julho-Cartão" sheetId="3" r:id="rId15"/>
    <sheet name="Agosto" sheetId="25" r:id="rId16"/>
    <sheet name="Agosto-Cartão" sheetId="24" r:id="rId17"/>
    <sheet name="Setembro" sheetId="23" r:id="rId18"/>
    <sheet name="Setembro-Cartão" sheetId="22" r:id="rId19"/>
    <sheet name="Outubro" sheetId="21" r:id="rId20"/>
    <sheet name="Outubro-Cartão" sheetId="20" r:id="rId21"/>
    <sheet name="Novembro" sheetId="19" r:id="rId22"/>
    <sheet name="Novembro-Cartão" sheetId="18" r:id="rId23"/>
    <sheet name="Dezembro" sheetId="17" r:id="rId24"/>
    <sheet name="Dezembro-Cartão" sheetId="16" r:id="rId25"/>
  </sheets>
  <definedNames>
    <definedName name="_xlnm._FilterDatabase" localSheetId="8" hidden="1">'Abril-Cartão'!$B$9:$G$93</definedName>
    <definedName name="_xlnm._FilterDatabase" localSheetId="16" hidden="1">'Agosto-Cartão'!$B$9:$G$93</definedName>
    <definedName name="_xlnm._FilterDatabase" localSheetId="24" hidden="1">'Dezembro-Cartão'!$B$9:$G$93</definedName>
    <definedName name="_xlnm._FilterDatabase" localSheetId="4" hidden="1">'Fevereiro-Cartão'!$B$9:$G$93</definedName>
    <definedName name="_xlnm._FilterDatabase" localSheetId="2" hidden="1">'Janeiro-Cartão'!$B$9:$G$93</definedName>
    <definedName name="_xlnm._FilterDatabase" localSheetId="14" hidden="1">'Julho-Cartão'!$B$9:$G$93</definedName>
    <definedName name="_xlnm._FilterDatabase" localSheetId="12" hidden="1">'Junho-Cartão'!$B$9:$G$93</definedName>
    <definedName name="_xlnm._FilterDatabase" localSheetId="10" hidden="1">'Maio-Cartão'!$B$9:$G$93</definedName>
    <definedName name="_xlnm._FilterDatabase" localSheetId="6" hidden="1">'Março-Cartão'!$B$9:$G$93</definedName>
    <definedName name="_xlnm._FilterDatabase" localSheetId="22" hidden="1">'Novembro-Cartão'!$B$9:$G$93</definedName>
    <definedName name="_xlnm._FilterDatabase" localSheetId="20" hidden="1">'Outubro-Cartão'!$B$9:$G$93</definedName>
    <definedName name="_xlnm._FilterDatabase" localSheetId="18" hidden="1">'Setembro-Cartão'!$B$9:$G$93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5" i="25" l="1"/>
  <c r="L19" i="25"/>
  <c r="L25" i="25"/>
  <c r="H11" i="25"/>
  <c r="L18" i="25" l="1"/>
  <c r="G17" i="1"/>
  <c r="D17" i="1"/>
  <c r="C17" i="1"/>
  <c r="G16" i="1"/>
  <c r="D16" i="1"/>
  <c r="C16" i="1"/>
  <c r="G15" i="1"/>
  <c r="D15" i="1"/>
  <c r="C15" i="1"/>
  <c r="G14" i="1"/>
  <c r="D14" i="1"/>
  <c r="C14" i="1"/>
  <c r="C12" i="1"/>
  <c r="G11" i="1"/>
  <c r="D11" i="1"/>
  <c r="C11" i="1"/>
  <c r="G10" i="1"/>
  <c r="D10" i="1"/>
  <c r="C10" i="1"/>
  <c r="G9" i="1"/>
  <c r="D9" i="1"/>
  <c r="C9" i="1"/>
  <c r="G8" i="1"/>
  <c r="D8" i="1"/>
  <c r="C8" i="1"/>
  <c r="G7" i="1"/>
  <c r="D7" i="1"/>
  <c r="C7" i="1"/>
  <c r="G6" i="1"/>
  <c r="D6" i="1"/>
  <c r="C6" i="1"/>
  <c r="L19" i="4"/>
  <c r="C21" i="25"/>
  <c r="C4" i="25" s="1"/>
  <c r="C13" i="1" s="1"/>
  <c r="L17" i="25"/>
  <c r="L16" i="25"/>
  <c r="L15" i="25"/>
  <c r="L14" i="25"/>
  <c r="L13" i="25"/>
  <c r="L12" i="25"/>
  <c r="L11" i="25"/>
  <c r="H4" i="25"/>
  <c r="G110" i="24"/>
  <c r="D4" i="24" s="1"/>
  <c r="J20" i="24"/>
  <c r="J19" i="24"/>
  <c r="J18" i="24"/>
  <c r="J17" i="24"/>
  <c r="J16" i="24"/>
  <c r="J15" i="24"/>
  <c r="J14" i="24"/>
  <c r="J13" i="24"/>
  <c r="J12" i="24"/>
  <c r="J11" i="24"/>
  <c r="J10" i="24"/>
  <c r="J5" i="24"/>
  <c r="J4" i="24"/>
  <c r="H5" i="25" s="1"/>
  <c r="J3" i="24"/>
  <c r="H61" i="23"/>
  <c r="C21" i="23"/>
  <c r="L18" i="23"/>
  <c r="L17" i="23"/>
  <c r="L16" i="23"/>
  <c r="L15" i="23"/>
  <c r="L14" i="23"/>
  <c r="L13" i="23"/>
  <c r="L12" i="23"/>
  <c r="L11" i="23"/>
  <c r="H5" i="23"/>
  <c r="H4" i="23"/>
  <c r="C4" i="23"/>
  <c r="G110" i="22"/>
  <c r="D4" i="22" s="1"/>
  <c r="L19" i="23" s="1"/>
  <c r="J20" i="22"/>
  <c r="J19" i="22"/>
  <c r="J18" i="22"/>
  <c r="J17" i="22"/>
  <c r="J16" i="22"/>
  <c r="J15" i="22"/>
  <c r="J14" i="22"/>
  <c r="J13" i="22"/>
  <c r="J12" i="22"/>
  <c r="J11" i="22"/>
  <c r="J10" i="22"/>
  <c r="J5" i="22"/>
  <c r="J4" i="22"/>
  <c r="J3" i="22"/>
  <c r="J6" i="22" s="1"/>
  <c r="H61" i="21"/>
  <c r="C21" i="21"/>
  <c r="C4" i="21" s="1"/>
  <c r="L17" i="21"/>
  <c r="L16" i="21"/>
  <c r="L15" i="21"/>
  <c r="L14" i="21"/>
  <c r="L13" i="21"/>
  <c r="L12" i="21"/>
  <c r="L11" i="21"/>
  <c r="L18" i="21"/>
  <c r="H5" i="21"/>
  <c r="H4" i="21"/>
  <c r="G110" i="20"/>
  <c r="D4" i="20" s="1"/>
  <c r="L19" i="21" s="1"/>
  <c r="J20" i="20"/>
  <c r="J19" i="20"/>
  <c r="J18" i="20"/>
  <c r="J17" i="20"/>
  <c r="J16" i="20"/>
  <c r="J15" i="20"/>
  <c r="J14" i="20"/>
  <c r="J13" i="20"/>
  <c r="J12" i="20"/>
  <c r="J11" i="20"/>
  <c r="J10" i="20"/>
  <c r="J21" i="20" s="1"/>
  <c r="J5" i="20"/>
  <c r="J4" i="20"/>
  <c r="J3" i="20"/>
  <c r="H61" i="19"/>
  <c r="C21" i="19"/>
  <c r="C4" i="19" s="1"/>
  <c r="L18" i="19"/>
  <c r="L17" i="19"/>
  <c r="L16" i="19"/>
  <c r="L15" i="19"/>
  <c r="L14" i="19"/>
  <c r="L13" i="19"/>
  <c r="L12" i="19"/>
  <c r="L11" i="19"/>
  <c r="H5" i="19"/>
  <c r="H4" i="19"/>
  <c r="G110" i="18"/>
  <c r="J20" i="18"/>
  <c r="J19" i="18"/>
  <c r="J18" i="18"/>
  <c r="J17" i="18"/>
  <c r="J16" i="18"/>
  <c r="J15" i="18"/>
  <c r="J14" i="18"/>
  <c r="J13" i="18"/>
  <c r="J12" i="18"/>
  <c r="J11" i="18"/>
  <c r="J10" i="18"/>
  <c r="J5" i="18"/>
  <c r="J4" i="18"/>
  <c r="D4" i="18"/>
  <c r="L19" i="19" s="1"/>
  <c r="J3" i="18"/>
  <c r="J6" i="18" s="1"/>
  <c r="H61" i="17"/>
  <c r="C21" i="17"/>
  <c r="C4" i="17" s="1"/>
  <c r="L18" i="17"/>
  <c r="L17" i="17"/>
  <c r="L16" i="17"/>
  <c r="L15" i="17"/>
  <c r="L14" i="17"/>
  <c r="L13" i="17"/>
  <c r="L12" i="17"/>
  <c r="L11" i="17"/>
  <c r="H4" i="17"/>
  <c r="H5" i="17"/>
  <c r="G110" i="16"/>
  <c r="D4" i="16" s="1"/>
  <c r="L19" i="17" s="1"/>
  <c r="J20" i="16"/>
  <c r="J19" i="16"/>
  <c r="J18" i="16"/>
  <c r="J17" i="16"/>
  <c r="J16" i="16"/>
  <c r="J15" i="16"/>
  <c r="J14" i="16"/>
  <c r="J13" i="16"/>
  <c r="J12" i="16"/>
  <c r="J11" i="16"/>
  <c r="J10" i="16"/>
  <c r="J5" i="16"/>
  <c r="J4" i="16"/>
  <c r="J3" i="16"/>
  <c r="J6" i="16" s="1"/>
  <c r="G110" i="15"/>
  <c r="D4" i="15" s="1"/>
  <c r="L19" i="14" s="1"/>
  <c r="J20" i="15"/>
  <c r="J19" i="15"/>
  <c r="J18" i="15"/>
  <c r="J17" i="15"/>
  <c r="J16" i="15"/>
  <c r="J15" i="15"/>
  <c r="J14" i="15"/>
  <c r="J13" i="15"/>
  <c r="J12" i="15"/>
  <c r="J11" i="15"/>
  <c r="J10" i="15"/>
  <c r="J5" i="15"/>
  <c r="J4" i="15"/>
  <c r="J3" i="15"/>
  <c r="J6" i="15" s="1"/>
  <c r="H61" i="14"/>
  <c r="C21" i="14"/>
  <c r="L18" i="14"/>
  <c r="L17" i="14"/>
  <c r="L16" i="14"/>
  <c r="L15" i="14"/>
  <c r="L14" i="14"/>
  <c r="L13" i="14"/>
  <c r="L12" i="14"/>
  <c r="L11" i="14"/>
  <c r="H5" i="14"/>
  <c r="H4" i="14"/>
  <c r="C4" i="14"/>
  <c r="G110" i="13"/>
  <c r="D4" i="13" s="1"/>
  <c r="L19" i="12" s="1"/>
  <c r="J20" i="13"/>
  <c r="J19" i="13"/>
  <c r="J18" i="13"/>
  <c r="J17" i="13"/>
  <c r="J16" i="13"/>
  <c r="J15" i="13"/>
  <c r="J14" i="13"/>
  <c r="J13" i="13"/>
  <c r="J12" i="13"/>
  <c r="J21" i="13" s="1"/>
  <c r="J11" i="13"/>
  <c r="J10" i="13"/>
  <c r="J5" i="13"/>
  <c r="J4" i="13"/>
  <c r="J3" i="13"/>
  <c r="J6" i="13" s="1"/>
  <c r="H61" i="12"/>
  <c r="C21" i="12"/>
  <c r="L18" i="12"/>
  <c r="L17" i="12"/>
  <c r="L16" i="12"/>
  <c r="L15" i="12"/>
  <c r="L14" i="12"/>
  <c r="L13" i="12"/>
  <c r="L12" i="12"/>
  <c r="L11" i="12"/>
  <c r="H5" i="12"/>
  <c r="H4" i="12"/>
  <c r="C4" i="12"/>
  <c r="G110" i="11"/>
  <c r="D4" i="11" s="1"/>
  <c r="L19" i="10" s="1"/>
  <c r="J20" i="11"/>
  <c r="J19" i="11"/>
  <c r="J18" i="11"/>
  <c r="J17" i="11"/>
  <c r="J16" i="11"/>
  <c r="J15" i="11"/>
  <c r="J14" i="11"/>
  <c r="J13" i="11"/>
  <c r="J12" i="11"/>
  <c r="J11" i="11"/>
  <c r="J10" i="11"/>
  <c r="J21" i="11" s="1"/>
  <c r="J5" i="11"/>
  <c r="J4" i="11"/>
  <c r="J3" i="11"/>
  <c r="H61" i="10"/>
  <c r="C21" i="10"/>
  <c r="L18" i="10"/>
  <c r="L17" i="10"/>
  <c r="L16" i="10"/>
  <c r="L15" i="10"/>
  <c r="L14" i="10"/>
  <c r="L13" i="10"/>
  <c r="L12" i="10"/>
  <c r="L11" i="10"/>
  <c r="H5" i="10"/>
  <c r="H4" i="10"/>
  <c r="C4" i="10"/>
  <c r="G110" i="9"/>
  <c r="J20" i="9"/>
  <c r="J19" i="9"/>
  <c r="J18" i="9"/>
  <c r="J17" i="9"/>
  <c r="J16" i="9"/>
  <c r="J15" i="9"/>
  <c r="J14" i="9"/>
  <c r="J13" i="9"/>
  <c r="J12" i="9"/>
  <c r="J11" i="9"/>
  <c r="J10" i="9"/>
  <c r="J21" i="9" s="1"/>
  <c r="J5" i="9"/>
  <c r="J4" i="9"/>
  <c r="D4" i="9"/>
  <c r="L19" i="8" s="1"/>
  <c r="J3" i="9"/>
  <c r="J6" i="9" s="1"/>
  <c r="H61" i="8"/>
  <c r="C21" i="8"/>
  <c r="C4" i="8" s="1"/>
  <c r="L18" i="8"/>
  <c r="L17" i="8"/>
  <c r="L16" i="8"/>
  <c r="L15" i="8"/>
  <c r="L14" i="8"/>
  <c r="L13" i="8"/>
  <c r="L12" i="8"/>
  <c r="L11" i="8"/>
  <c r="H5" i="8"/>
  <c r="H4" i="8"/>
  <c r="G110" i="7"/>
  <c r="J20" i="7"/>
  <c r="J19" i="7"/>
  <c r="J18" i="7"/>
  <c r="J17" i="7"/>
  <c r="J16" i="7"/>
  <c r="J15" i="7"/>
  <c r="J14" i="7"/>
  <c r="J13" i="7"/>
  <c r="J12" i="7"/>
  <c r="J11" i="7"/>
  <c r="J10" i="7"/>
  <c r="J21" i="7" s="1"/>
  <c r="J5" i="7"/>
  <c r="J4" i="7"/>
  <c r="D4" i="7"/>
  <c r="L19" i="6" s="1"/>
  <c r="J3" i="7"/>
  <c r="J6" i="7" s="1"/>
  <c r="H61" i="6"/>
  <c r="C21" i="6"/>
  <c r="C4" i="6" s="1"/>
  <c r="L17" i="6"/>
  <c r="L16" i="6"/>
  <c r="L15" i="6"/>
  <c r="L14" i="6"/>
  <c r="L13" i="6"/>
  <c r="L12" i="6"/>
  <c r="L11" i="6"/>
  <c r="L18" i="6"/>
  <c r="H5" i="6"/>
  <c r="H4" i="6"/>
  <c r="G110" i="5"/>
  <c r="D4" i="5" s="1"/>
  <c r="J20" i="5"/>
  <c r="J19" i="5"/>
  <c r="J18" i="5"/>
  <c r="J17" i="5"/>
  <c r="J16" i="5"/>
  <c r="J15" i="5"/>
  <c r="J14" i="5"/>
  <c r="J13" i="5"/>
  <c r="J12" i="5"/>
  <c r="J11" i="5"/>
  <c r="J10" i="5"/>
  <c r="J21" i="5" s="1"/>
  <c r="J5" i="5"/>
  <c r="J4" i="5"/>
  <c r="J3" i="5"/>
  <c r="J6" i="5" s="1"/>
  <c r="H61" i="4"/>
  <c r="C21" i="4"/>
  <c r="C4" i="4" s="1"/>
  <c r="L18" i="4"/>
  <c r="L17" i="4"/>
  <c r="L16" i="4"/>
  <c r="L15" i="4"/>
  <c r="L14" i="4"/>
  <c r="L20" i="4" s="1"/>
  <c r="L13" i="4"/>
  <c r="L12" i="4"/>
  <c r="L11" i="4"/>
  <c r="H5" i="4"/>
  <c r="H4" i="4"/>
  <c r="J5" i="3"/>
  <c r="J4" i="3"/>
  <c r="J3" i="3"/>
  <c r="H5" i="2"/>
  <c r="H4" i="2"/>
  <c r="E13" i="2"/>
  <c r="E14" i="2" s="1"/>
  <c r="H11" i="2"/>
  <c r="H61" i="2" s="1"/>
  <c r="G110" i="3"/>
  <c r="D4" i="3" s="1"/>
  <c r="L19" i="2" s="1"/>
  <c r="J20" i="3"/>
  <c r="J19" i="3"/>
  <c r="J18" i="3"/>
  <c r="J17" i="3"/>
  <c r="J16" i="3"/>
  <c r="J15" i="3"/>
  <c r="J14" i="3"/>
  <c r="J13" i="3"/>
  <c r="J12" i="3"/>
  <c r="J11" i="3"/>
  <c r="J10" i="3"/>
  <c r="C21" i="2"/>
  <c r="C4" i="2" s="1"/>
  <c r="L17" i="2"/>
  <c r="L16" i="2"/>
  <c r="L15" i="2"/>
  <c r="L14" i="2"/>
  <c r="L13" i="2"/>
  <c r="L12" i="2"/>
  <c r="L11" i="2"/>
  <c r="L20" i="25" l="1"/>
  <c r="C5" i="25" s="1"/>
  <c r="J6" i="24"/>
  <c r="G13" i="1"/>
  <c r="G12" i="1"/>
  <c r="H61" i="25"/>
  <c r="K16" i="20"/>
  <c r="K20" i="20"/>
  <c r="K19" i="20"/>
  <c r="K17" i="5"/>
  <c r="K20" i="5"/>
  <c r="J21" i="22"/>
  <c r="K16" i="22" s="1"/>
  <c r="L20" i="14"/>
  <c r="L20" i="23"/>
  <c r="J21" i="16"/>
  <c r="L20" i="12"/>
  <c r="M17" i="12" s="1"/>
  <c r="L20" i="8"/>
  <c r="L20" i="19"/>
  <c r="M19" i="19" s="1"/>
  <c r="L20" i="17"/>
  <c r="M13" i="17" s="1"/>
  <c r="J21" i="24"/>
  <c r="K12" i="24" s="1"/>
  <c r="J21" i="18"/>
  <c r="K16" i="18" s="1"/>
  <c r="J6" i="20"/>
  <c r="L20" i="21"/>
  <c r="M15" i="21" s="1"/>
  <c r="L20" i="10"/>
  <c r="J6" i="11"/>
  <c r="J21" i="15"/>
  <c r="K11" i="15" s="1"/>
  <c r="K18" i="22"/>
  <c r="K11" i="22"/>
  <c r="K17" i="22"/>
  <c r="K14" i="22"/>
  <c r="K13" i="22"/>
  <c r="K12" i="22"/>
  <c r="K10" i="22"/>
  <c r="K21" i="22"/>
  <c r="K20" i="22"/>
  <c r="K19" i="22"/>
  <c r="M20" i="8"/>
  <c r="M19" i="8"/>
  <c r="M18" i="8"/>
  <c r="M17" i="8"/>
  <c r="M16" i="8"/>
  <c r="M15" i="8"/>
  <c r="M14" i="8"/>
  <c r="C5" i="8"/>
  <c r="M11" i="8"/>
  <c r="M12" i="8"/>
  <c r="M13" i="8"/>
  <c r="M15" i="10"/>
  <c r="M20" i="10"/>
  <c r="M19" i="10"/>
  <c r="M18" i="10"/>
  <c r="M17" i="10"/>
  <c r="M16" i="10"/>
  <c r="M11" i="10"/>
  <c r="M13" i="10"/>
  <c r="M14" i="10"/>
  <c r="M12" i="10"/>
  <c r="C5" i="10"/>
  <c r="C5" i="12"/>
  <c r="M16" i="12"/>
  <c r="M15" i="12"/>
  <c r="M12" i="12"/>
  <c r="M11" i="12"/>
  <c r="L20" i="6"/>
  <c r="M11" i="14"/>
  <c r="M19" i="14"/>
  <c r="C5" i="14"/>
  <c r="M20" i="14"/>
  <c r="M14" i="14"/>
  <c r="M16" i="14"/>
  <c r="M18" i="14"/>
  <c r="M17" i="14"/>
  <c r="M15" i="14"/>
  <c r="M13" i="14"/>
  <c r="M12" i="14"/>
  <c r="K14" i="18"/>
  <c r="K13" i="18"/>
  <c r="K12" i="18"/>
  <c r="K11" i="18"/>
  <c r="K10" i="18"/>
  <c r="K18" i="18"/>
  <c r="K21" i="18"/>
  <c r="K20" i="18"/>
  <c r="K19" i="18"/>
  <c r="K17" i="18"/>
  <c r="M16" i="4"/>
  <c r="M15" i="4"/>
  <c r="M14" i="4"/>
  <c r="M13" i="4"/>
  <c r="M12" i="4"/>
  <c r="M11" i="4"/>
  <c r="M20" i="4"/>
  <c r="C5" i="4"/>
  <c r="M19" i="4"/>
  <c r="M18" i="4"/>
  <c r="M17" i="4"/>
  <c r="C6" i="4"/>
  <c r="C6" i="8"/>
  <c r="K12" i="16"/>
  <c r="K11" i="16"/>
  <c r="K10" i="16"/>
  <c r="K16" i="16"/>
  <c r="K18" i="16"/>
  <c r="K17" i="16"/>
  <c r="K20" i="16"/>
  <c r="K19" i="16"/>
  <c r="K15" i="16"/>
  <c r="K21" i="16"/>
  <c r="K14" i="16"/>
  <c r="K13" i="16"/>
  <c r="M17" i="21"/>
  <c r="M16" i="21"/>
  <c r="M11" i="21"/>
  <c r="M19" i="23"/>
  <c r="M18" i="23"/>
  <c r="M17" i="23"/>
  <c r="M16" i="23"/>
  <c r="M15" i="23"/>
  <c r="M14" i="23"/>
  <c r="M13" i="23"/>
  <c r="M11" i="23"/>
  <c r="C5" i="23"/>
  <c r="C6" i="23" s="1"/>
  <c r="M12" i="23"/>
  <c r="M20" i="23"/>
  <c r="K19" i="11"/>
  <c r="K17" i="11"/>
  <c r="K21" i="11"/>
  <c r="K20" i="11"/>
  <c r="K18" i="11"/>
  <c r="K11" i="11"/>
  <c r="K13" i="11"/>
  <c r="K12" i="11"/>
  <c r="K15" i="11"/>
  <c r="K14" i="11"/>
  <c r="K10" i="11"/>
  <c r="K16" i="11"/>
  <c r="K19" i="7"/>
  <c r="K18" i="7"/>
  <c r="K15" i="7"/>
  <c r="K13" i="7"/>
  <c r="K17" i="7"/>
  <c r="K16" i="7"/>
  <c r="K14" i="7"/>
  <c r="K10" i="7"/>
  <c r="K11" i="7"/>
  <c r="K21" i="7"/>
  <c r="K20" i="7"/>
  <c r="K12" i="7"/>
  <c r="K21" i="9"/>
  <c r="K20" i="9"/>
  <c r="K17" i="9"/>
  <c r="K15" i="9"/>
  <c r="K19" i="9"/>
  <c r="K18" i="9"/>
  <c r="K16" i="9"/>
  <c r="K10" i="9"/>
  <c r="K11" i="9"/>
  <c r="K13" i="9"/>
  <c r="K12" i="9"/>
  <c r="K14" i="9"/>
  <c r="K21" i="13"/>
  <c r="K19" i="13"/>
  <c r="K20" i="13"/>
  <c r="K13" i="13"/>
  <c r="K15" i="13"/>
  <c r="K14" i="13"/>
  <c r="K17" i="13"/>
  <c r="K16" i="13"/>
  <c r="K12" i="13"/>
  <c r="K18" i="13"/>
  <c r="K11" i="13"/>
  <c r="K10" i="13"/>
  <c r="M20" i="17"/>
  <c r="M18" i="17"/>
  <c r="M16" i="17"/>
  <c r="M15" i="17"/>
  <c r="M14" i="17"/>
  <c r="K10" i="15"/>
  <c r="K15" i="15"/>
  <c r="K17" i="15"/>
  <c r="K16" i="15"/>
  <c r="K19" i="15"/>
  <c r="K18" i="15"/>
  <c r="K14" i="15"/>
  <c r="K20" i="15"/>
  <c r="K13" i="15"/>
  <c r="K12" i="15"/>
  <c r="M15" i="19"/>
  <c r="M14" i="19"/>
  <c r="C5" i="19"/>
  <c r="C6" i="19" s="1"/>
  <c r="M13" i="19"/>
  <c r="M12" i="19"/>
  <c r="M11" i="19"/>
  <c r="K17" i="20"/>
  <c r="K18" i="20"/>
  <c r="K10" i="5"/>
  <c r="K18" i="5"/>
  <c r="K19" i="5"/>
  <c r="K21" i="5"/>
  <c r="K21" i="20"/>
  <c r="K10" i="20"/>
  <c r="K12" i="5"/>
  <c r="K11" i="20"/>
  <c r="K12" i="20"/>
  <c r="K13" i="20"/>
  <c r="K14" i="20"/>
  <c r="K14" i="5"/>
  <c r="K15" i="5"/>
  <c r="K15" i="20"/>
  <c r="K11" i="5"/>
  <c r="K13" i="5"/>
  <c r="K16" i="5"/>
  <c r="J6" i="3"/>
  <c r="J21" i="3"/>
  <c r="K20" i="3" s="1"/>
  <c r="L18" i="2"/>
  <c r="L20" i="2" s="1"/>
  <c r="M19" i="2" s="1"/>
  <c r="C18" i="1"/>
  <c r="G18" i="1" l="1"/>
  <c r="K14" i="24"/>
  <c r="K15" i="24"/>
  <c r="K16" i="24"/>
  <c r="K17" i="24"/>
  <c r="K18" i="24"/>
  <c r="K19" i="24"/>
  <c r="K13" i="24"/>
  <c r="K20" i="24"/>
  <c r="K10" i="24"/>
  <c r="K11" i="24"/>
  <c r="K21" i="24"/>
  <c r="K21" i="15"/>
  <c r="M19" i="17"/>
  <c r="M17" i="17"/>
  <c r="M18" i="21"/>
  <c r="C5" i="17"/>
  <c r="M19" i="21"/>
  <c r="M11" i="17"/>
  <c r="M20" i="21"/>
  <c r="M13" i="12"/>
  <c r="M16" i="19"/>
  <c r="M12" i="17"/>
  <c r="C5" i="21"/>
  <c r="M14" i="12"/>
  <c r="M17" i="19"/>
  <c r="M12" i="21"/>
  <c r="M18" i="12"/>
  <c r="M18" i="19"/>
  <c r="M13" i="21"/>
  <c r="M19" i="12"/>
  <c r="M20" i="19"/>
  <c r="M14" i="21"/>
  <c r="K15" i="18"/>
  <c r="M20" i="12"/>
  <c r="K15" i="22"/>
  <c r="E11" i="1"/>
  <c r="E6" i="1"/>
  <c r="F6" i="1" s="1"/>
  <c r="E16" i="1"/>
  <c r="E9" i="1"/>
  <c r="E10" i="1"/>
  <c r="E14" i="1"/>
  <c r="E8" i="1"/>
  <c r="M20" i="25"/>
  <c r="M14" i="25"/>
  <c r="M19" i="25"/>
  <c r="M18" i="25"/>
  <c r="M17" i="25"/>
  <c r="M16" i="25"/>
  <c r="M15" i="25"/>
  <c r="M13" i="25"/>
  <c r="M12" i="25"/>
  <c r="M11" i="25"/>
  <c r="D13" i="1"/>
  <c r="C6" i="14"/>
  <c r="M18" i="6"/>
  <c r="M17" i="6"/>
  <c r="M12" i="6"/>
  <c r="M16" i="6"/>
  <c r="M15" i="6"/>
  <c r="M14" i="6"/>
  <c r="M13" i="6"/>
  <c r="C5" i="6"/>
  <c r="M11" i="6"/>
  <c r="M20" i="6"/>
  <c r="M19" i="6"/>
  <c r="C6" i="17"/>
  <c r="C6" i="10"/>
  <c r="C6" i="12"/>
  <c r="K10" i="3"/>
  <c r="K12" i="3"/>
  <c r="K14" i="3"/>
  <c r="K15" i="3"/>
  <c r="K17" i="3"/>
  <c r="K18" i="3"/>
  <c r="K19" i="3"/>
  <c r="K21" i="3"/>
  <c r="K11" i="3"/>
  <c r="K13" i="3"/>
  <c r="K16" i="3"/>
  <c r="M18" i="2"/>
  <c r="M13" i="2"/>
  <c r="M11" i="2"/>
  <c r="C5" i="2"/>
  <c r="D12" i="1" s="1"/>
  <c r="M16" i="2"/>
  <c r="M14" i="2"/>
  <c r="M20" i="2"/>
  <c r="M12" i="2"/>
  <c r="M15" i="2"/>
  <c r="M17" i="2"/>
  <c r="E17" i="1" l="1"/>
  <c r="E15" i="1"/>
  <c r="C6" i="21"/>
  <c r="E7" i="1"/>
  <c r="E13" i="1"/>
  <c r="C6" i="6"/>
  <c r="C6" i="25"/>
  <c r="E12" i="1"/>
  <c r="D18" i="1"/>
  <c r="C6" i="2"/>
  <c r="F10" i="1" l="1"/>
  <c r="F7" i="1"/>
  <c r="F8" i="1"/>
  <c r="F9" i="1"/>
  <c r="F11" i="1"/>
  <c r="F16" i="1"/>
  <c r="F13" i="1"/>
  <c r="F12" i="1"/>
  <c r="E18" i="1"/>
  <c r="F15" i="1"/>
  <c r="F14" i="1"/>
  <c r="F17" i="1"/>
  <c r="F18" i="1" s="1"/>
</calcChain>
</file>

<file path=xl/sharedStrings.xml><?xml version="1.0" encoding="utf-8"?>
<sst xmlns="http://schemas.openxmlformats.org/spreadsheetml/2006/main" count="1565" uniqueCount="219">
  <si>
    <t>RESUMO ANUAL — CUSTOS DA CASA 2026</t>
  </si>
  <si>
    <t>Mês</t>
  </si>
  <si>
    <t>Entradas</t>
  </si>
  <si>
    <t>Saídas</t>
  </si>
  <si>
    <t>Saldo</t>
  </si>
  <si>
    <t>Saldo Acumulado</t>
  </si>
  <si>
    <t>Fatura Cartão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</si>
  <si>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</si>
  <si>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</si>
  <si>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</si>
  <si>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</si>
  <si>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</si>
  <si>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</si>
  <si>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</si>
  <si>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</si>
  <si>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</si>
  <si>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</si>
  <si>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</si>
  <si>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</si>
  <si>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ANO</t>
  </si>
  <si>
    <t>COMO USAR:</t>
  </si>
  <si>
    <t>1. Clique com o botão direito na aba "Mês" → Mover ou copiar → marque "Criar uma cópia".</t>
  </si>
  <si>
    <t>2. Renomeie a cópia com o nome do mês (ex.: "Janeiro") e digite o mesmo nome na célula C2 dela.</t>
  </si>
  <si>
    <t>3. Faça o mesmo com a aba "Mês-Cartão" (ex.: "Janeiro-Cartão").</t>
  </si>
  <si>
    <t>4. O Resumo puxa os valores automaticamente pelo nome da aba. Meses ainda não criados aparecem como "-".</t>
  </si>
  <si>
    <t>CONTROLE MENSAL</t>
  </si>
  <si>
    <t>Mês:</t>
  </si>
  <si>
    <t>← digite aqui o mesmo nome da aba (ex.: Janeiro)</t>
  </si>
  <si>
    <t>Total de Entradas</t>
  </si>
  <si>
    <t>Total de Saídas</t>
  </si>
  <si>
    <t>Saldo do Mês</t>
  </si>
  <si>
    <t>ENTRADAS</t>
  </si>
  <si>
    <t>SAÍDAS (exceto cartão de crédito)</t>
  </si>
  <si>
    <t>RESUMO POR CATEGORIA</t>
  </si>
  <si>
    <t>Descrição</t>
  </si>
  <si>
    <t>Valor</t>
  </si>
  <si>
    <t>Data</t>
  </si>
  <si>
    <t>Categoria</t>
  </si>
  <si>
    <t>Total</t>
  </si>
  <si>
    <t>%</t>
  </si>
  <si>
    <t>Moradia (aluguel/condomínio)</t>
  </si>
  <si>
    <t>Contas (luz/água/internet)</t>
  </si>
  <si>
    <t>Mercado</t>
  </si>
  <si>
    <t>Transporte</t>
  </si>
  <si>
    <t>Saúde</t>
  </si>
  <si>
    <t>Educação</t>
  </si>
  <si>
    <t>Lazer</t>
  </si>
  <si>
    <t>Outros</t>
  </si>
  <si>
    <t>Cartão de Crédito</t>
  </si>
  <si>
    <t>O Cartão de Crédito vem automático da aba "Mês-Cartão" — não lance a fatura nas Saídas.</t>
  </si>
  <si>
    <t>Total lançado</t>
  </si>
  <si>
    <t>ESTUDO DA FATURA DO CARTÃO DE CRÉDITO</t>
  </si>
  <si>
    <t>← digite o mesmo nome da aba do mês (ex.: Janeiro)</t>
  </si>
  <si>
    <t>Total da Fatura</t>
  </si>
  <si>
    <t>LANÇAMENTOS DA FATURA</t>
  </si>
  <si>
    <t>ONDE ESTOU GASTANDO</t>
  </si>
  <si>
    <t>Parcela</t>
  </si>
  <si>
    <t>Restaurantes/Delivery</t>
  </si>
  <si>
    <t>Transporte/Combustível</t>
  </si>
  <si>
    <t>Assinaturas/Streaming</t>
  </si>
  <si>
    <t>Vestuário</t>
  </si>
  <si>
    <t>Saúde/Farmácia</t>
  </si>
  <si>
    <t>Casa</t>
  </si>
  <si>
    <t>Viagem</t>
  </si>
  <si>
    <t>SALARIO</t>
  </si>
  <si>
    <t>DIVIDENDO</t>
  </si>
  <si>
    <t>DIZIMO</t>
  </si>
  <si>
    <t>PARCELA MRV</t>
  </si>
  <si>
    <t>SEGURO MRV</t>
  </si>
  <si>
    <t>APCEF</t>
  </si>
  <si>
    <t>Pago?</t>
  </si>
  <si>
    <t>Total Pago</t>
  </si>
  <si>
    <t>Total a Pagar</t>
  </si>
  <si>
    <t>Pago</t>
  </si>
  <si>
    <t>HUMANAS SAUDE</t>
  </si>
  <si>
    <t>Não pago</t>
  </si>
  <si>
    <t>NUBAK HELENA</t>
  </si>
  <si>
    <t>Havan Sao Luiz</t>
  </si>
  <si>
    <t>Gol Linhas Aéreas</t>
  </si>
  <si>
    <t>Riachuelo</t>
  </si>
  <si>
    <t>Farmácias Pague Menos</t>
  </si>
  <si>
    <t>Vivara</t>
  </si>
  <si>
    <t>3/4</t>
  </si>
  <si>
    <t>5/5</t>
  </si>
  <si>
    <t>3/3</t>
  </si>
  <si>
    <t>8/10</t>
  </si>
  <si>
    <t>IFD*BR</t>
  </si>
  <si>
    <t/>
  </si>
  <si>
    <t>EMPORIO PINHEIRO</t>
  </si>
  <si>
    <t>EspetinDeRua</t>
  </si>
  <si>
    <t>VICKS BURGER ILHA</t>
  </si>
  <si>
    <t>PAGUE MENOS 06</t>
  </si>
  <si>
    <t>SHOPPING ILHA SA CAVAL</t>
  </si>
  <si>
    <t>UBER * PENDING</t>
  </si>
  <si>
    <t>DAISO</t>
  </si>
  <si>
    <t>BRASIL CACAU</t>
  </si>
  <si>
    <t>LE BISCUIT</t>
  </si>
  <si>
    <t>SHOPPING DA ILHA</t>
  </si>
  <si>
    <t>OUTBACK SHOPPING AMERI</t>
  </si>
  <si>
    <t>Estacionamento</t>
  </si>
  <si>
    <t>UBER *TRIP HELP.UBER.CO</t>
  </si>
  <si>
    <t>OFICINA DE BOLOS RENAS</t>
  </si>
  <si>
    <t>A. B. COLINS LIMA</t>
  </si>
  <si>
    <t>PAGUE MENOS 08</t>
  </si>
  <si>
    <t>SDL - SAO LUIZ DANIEL</t>
  </si>
  <si>
    <t>AEROPORTO VIRACOPOS A</t>
  </si>
  <si>
    <t>PIAZZA</t>
  </si>
  <si>
    <t>PARADA 163</t>
  </si>
  <si>
    <t>MP*RAPHAEL</t>
  </si>
  <si>
    <t>SHOW DE BEBE KIDS</t>
  </si>
  <si>
    <t>42908470Adriano</t>
  </si>
  <si>
    <t>01/03</t>
  </si>
  <si>
    <t>CAPPTA *R DE GOIS DALE</t>
  </si>
  <si>
    <t>CAPPTA *GESSI VIEIRA D</t>
  </si>
  <si>
    <t>CLARICES</t>
  </si>
  <si>
    <t>IZU JAPANESE FOOD</t>
  </si>
  <si>
    <t>IFD*ROSSINI LTDA</t>
  </si>
  <si>
    <t>RESTAURANTE DO MILA</t>
  </si>
  <si>
    <t>CONFECCOES S-CT</t>
  </si>
  <si>
    <t>BAFFS</t>
  </si>
  <si>
    <t>01/02</t>
  </si>
  <si>
    <t>Jbj</t>
  </si>
  <si>
    <t>KOPENHAGEM BSB AR</t>
  </si>
  <si>
    <t>DUFRY SHOPPING BRASILI</t>
  </si>
  <si>
    <t>IFD*ANGELO DA SILVA LEM</t>
  </si>
  <si>
    <t>MarcioDosSan-CT</t>
  </si>
  <si>
    <t>TCHE PAMPAS</t>
  </si>
  <si>
    <t>09/10</t>
  </si>
  <si>
    <t>CARROSSEL ACONCHE</t>
  </si>
  <si>
    <t>07/12</t>
  </si>
  <si>
    <t>EXTRA FARMA -CT 13</t>
  </si>
  <si>
    <t>PG *GRAN LINKPAGA</t>
  </si>
  <si>
    <t>05/12</t>
  </si>
  <si>
    <t>HOTMART C3DDOZER</t>
  </si>
  <si>
    <t>03/12</t>
  </si>
  <si>
    <t>AMAZON PRIME BR</t>
  </si>
  <si>
    <t>EBN*CANVA0485</t>
  </si>
  <si>
    <t>EBN *CapCut</t>
  </si>
  <si>
    <t>EBN *ADOBE</t>
  </si>
  <si>
    <t>IFD*iFood</t>
  </si>
  <si>
    <t>08/12</t>
  </si>
  <si>
    <t>MP*MELIMAIS</t>
  </si>
  <si>
    <t>ANUIDADE DIFERENCI</t>
  </si>
  <si>
    <t>ESTORNO DE ANUIDADE DIF</t>
  </si>
  <si>
    <t>CARTÃO</t>
  </si>
  <si>
    <t>NU RICARDO</t>
  </si>
  <si>
    <t>VISA RICARDO</t>
  </si>
  <si>
    <t>NU HELENA</t>
  </si>
  <si>
    <t>TOTAL</t>
  </si>
  <si>
    <t>ENERGIA</t>
  </si>
  <si>
    <t>PASSAPORTE</t>
  </si>
  <si>
    <t>CEA</t>
  </si>
  <si>
    <t>HUMANAS DENTINHO</t>
  </si>
  <si>
    <t>MRV</t>
  </si>
  <si>
    <t>RICARDO NU BANK</t>
  </si>
  <si>
    <t>RICARDO VISA</t>
  </si>
  <si>
    <t>RESGATE</t>
  </si>
  <si>
    <t>APLICAÇÃO AURORA</t>
  </si>
  <si>
    <t>SAÍDAS</t>
  </si>
  <si>
    <t>SEGURO ITAU</t>
  </si>
  <si>
    <t>CARROSSEL ACON</t>
  </si>
  <si>
    <t>10/10</t>
  </si>
  <si>
    <t>EXTRA FARMA -C</t>
  </si>
  <si>
    <t>PG *GRAN LINKP</t>
  </si>
  <si>
    <t>HOTMART C3DDOZ</t>
  </si>
  <si>
    <t>AMAZON PRIME B</t>
  </si>
  <si>
    <t>06/12</t>
  </si>
  <si>
    <t>04/12</t>
  </si>
  <si>
    <t>42908470Adrian</t>
  </si>
  <si>
    <t>02/03</t>
  </si>
  <si>
    <t>02/02</t>
  </si>
  <si>
    <t>IFD*FNRN RESTAURANTE LT</t>
  </si>
  <si>
    <t>IFD*Leandro Da Silva</t>
  </si>
  <si>
    <t>SMARVIC COMERCIO E SE</t>
  </si>
  <si>
    <t>SUBWAY HOLANDESES</t>
  </si>
  <si>
    <t>IFD*F P S RODRIGUES LT</t>
  </si>
  <si>
    <t>PRINCESA DOS SALGADOS</t>
  </si>
  <si>
    <t>DIVERNO COHAJAP MAQUIN</t>
  </si>
  <si>
    <t>PAGUE MENOS 084</t>
  </si>
  <si>
    <t>A. B. COLINS LIMASAO JO</t>
  </si>
  <si>
    <t>SUBWAY HOLANDESESSAO LU</t>
  </si>
  <si>
    <t>EMPORIO PINHEIROSAO LUI</t>
  </si>
  <si>
    <t>UBER * PENDINGSAO PAULO</t>
  </si>
  <si>
    <t>EBN *CapCutCURI</t>
  </si>
  <si>
    <t>BURGER KINGSAO LUISBR</t>
  </si>
  <si>
    <t>VICKS BURGER SLZSAO LUI</t>
  </si>
  <si>
    <t>LOJAS AMERICANAS 1278SA</t>
  </si>
  <si>
    <t>NBR MALLS EMPREENDIMENS</t>
  </si>
  <si>
    <t>ADOBESAO PAULOBR</t>
  </si>
  <si>
    <t>MP*62298516JOAOMSAO LUI</t>
  </si>
  <si>
    <t>ARMAZZEM-PASSAROSSAO LU</t>
  </si>
  <si>
    <t>RMendesCarvalhoSAO LUIS</t>
  </si>
  <si>
    <t>MP*PASTELANDOSLZSO LUSB</t>
  </si>
  <si>
    <t>MASSAS FASTSAO LUISBR</t>
  </si>
  <si>
    <t>KAROLICIASSAO LUISBR</t>
  </si>
  <si>
    <t>POTIGUAR OLHO DAGUASAO</t>
  </si>
  <si>
    <t>MIX PINHEIRO ARACAGISAO</t>
  </si>
  <si>
    <t>IFD*C. A. N. MOROMISATO</t>
  </si>
  <si>
    <t>IFD*ANSM COMERCIO DE AL</t>
  </si>
  <si>
    <t>SAGRES RESTBELEMBR</t>
  </si>
  <si>
    <t>MAZURCABRAGANCABR</t>
  </si>
  <si>
    <t>SALGATEUABRAGANCABR</t>
  </si>
  <si>
    <t>TOP CONVENIENCIABRAGANC</t>
  </si>
  <si>
    <t>IFD*ROCHA LOBATO COMER</t>
  </si>
  <si>
    <t>IFD*PIZZA FRIGIO COMERC</t>
  </si>
  <si>
    <t>GB COMERCIO DE ALIMENTB</t>
  </si>
  <si>
    <t>MP*MALUXBELEMB</t>
  </si>
  <si>
    <t>01/12</t>
  </si>
  <si>
    <t>PARSTOP ESTACIONAMENTSA</t>
  </si>
  <si>
    <t>Mc Donalds - Arcos Dour</t>
  </si>
  <si>
    <t>PbAdministradoraSAO LUI</t>
  </si>
  <si>
    <t>CHL PARK ESTACIONAMESAO</t>
  </si>
  <si>
    <t>EstacionamentoSAO LUISB</t>
  </si>
  <si>
    <t>DROGASIL 3392SAO LUISBR</t>
  </si>
  <si>
    <t>IFD*iFoodOsascoBR</t>
  </si>
  <si>
    <t>ANUIDADE DIFER</t>
  </si>
  <si>
    <t>09/12</t>
  </si>
  <si>
    <t>Redução Mensalidade - P</t>
  </si>
  <si>
    <t>ALIMENTAÇÃO LUCENA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</si>
</sst>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;[Red]&quot;-R$ &quot;#,##0.00;\-"/>
    <numFmt numFmtId="165" formatCode="0.0%;\-0.0%;\-"/>
  </numFmts>
  <fonts count="11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008000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sz val="10"/>
      <color rgb="FF0000FF"/>
      <name val="Arial"/>
      <charset val="1"/>
    </font>
    <font>
      <sz val="10"/>
      <color theme="1"/>
      <name val="Arial"/>
    </font>
    <font>
      <sz val="10"/>
      <color rgb="FF0000FF"/>
      <name val="Arial"/>
    </font>
    <font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6E4F0"/>
        <bgColor rgb="FFD9D9D9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0" borderId="1" xfId="0" applyFont="1" applyBorder="1"/>
    <xf numFmtId="164" fontId="4" fillId="0" borderId="1" xfId="0" applyNumberFormat="1" applyFont="1" applyBorder="1"/>
    <xf numFmtId="164" fontId="5" fillId="0" borderId="1" xfId="0" applyNumberFormat="1" applyFont="1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0" fontId="3" fillId="0" borderId="0" xfId="0" applyFont="1"/>
    <xf numFmtId="0" fontId="6" fillId="0" borderId="0" xfId="0" applyFont="1"/>
    <xf numFmtId="0" fontId="7" fillId="5" borderId="1" xfId="0" applyFont="1" applyFill="1" applyBorder="1" applyAlignment="1">
      <alignment horizontal="center"/>
    </xf>
    <xf numFmtId="0" fontId="7" fillId="0" borderId="1" xfId="0" applyFont="1" applyBorder="1"/>
    <xf numFmtId="164" fontId="7" fillId="0" borderId="1" xfId="0" applyNumberFormat="1" applyFont="1" applyBorder="1"/>
    <xf numFmtId="14" fontId="7" fillId="0" borderId="1" xfId="0" applyNumberFormat="1" applyFont="1" applyBorder="1"/>
    <xf numFmtId="165" fontId="5" fillId="0" borderId="1" xfId="0" applyNumberFormat="1" applyFont="1" applyBorder="1"/>
    <xf numFmtId="165" fontId="3" fillId="4" borderId="1" xfId="0" applyNumberFormat="1" applyFont="1" applyFill="1" applyBorder="1"/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7" fillId="0" borderId="2" xfId="0" applyNumberFormat="1" applyFont="1" applyBorder="1"/>
    <xf numFmtId="0" fontId="5" fillId="0" borderId="3" xfId="0" applyFont="1" applyBorder="1"/>
    <xf numFmtId="0" fontId="3" fillId="4" borderId="3" xfId="0" applyFont="1" applyFill="1" applyBorder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14" fontId="7" fillId="0" borderId="5" xfId="0" applyNumberFormat="1" applyFont="1" applyBorder="1"/>
    <xf numFmtId="0" fontId="7" fillId="0" borderId="5" xfId="0" applyFont="1" applyBorder="1"/>
    <xf numFmtId="0" fontId="7" fillId="0" borderId="5" xfId="0" applyFont="1" applyBorder="1" applyAlignment="1">
      <alignment horizontal="center"/>
    </xf>
    <xf numFmtId="164" fontId="7" fillId="0" borderId="5" xfId="0" applyNumberFormat="1" applyFont="1" applyBorder="1"/>
    <xf numFmtId="14" fontId="7" fillId="0" borderId="4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49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vertical="center"/>
    </xf>
    <xf numFmtId="0" fontId="7" fillId="0" borderId="4" xfId="0" applyFont="1" applyBorder="1" applyAlignment="1">
      <alignment vertical="center"/>
    </xf>
    <xf numFmtId="49" fontId="7" fillId="0" borderId="4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49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3" fillId="4" borderId="1" xfId="0" applyFont="1" applyFill="1" applyBorder="1" applyAlignment="1">
      <alignment horizontal="right"/>
    </xf>
    <xf numFmtId="0" fontId="6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10" fillId="0" borderId="1" xfId="0" applyFont="1" applyBorder="1"/>
  </cellXfs>
  <cellStyles count="1">
    <cellStyle name="Normal" xfId="0" builtinId="0"/>
  </cellStyles>
  <dxfs count="26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9999FF"/>
      <rgbColor rgb="FF7030A0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'Janeiro-Cartão'!$J$9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'Janeiro-Cartão'!$I$10:$I$20</c:f>
              <c:strCache>
                <c:ptCount val="11"/>
                <c:pt idx="0">
                  <c:v>Mercado</c:v>
                </c:pt>
                <c:pt idx="1">
                  <c:v>Restaurantes/Delivery</c:v>
                </c:pt>
                <c:pt idx="2">
                  <c:v>Transporte/Combustível</c:v>
                </c:pt>
                <c:pt idx="3">
                  <c:v>Assinaturas/Streaming</c:v>
                </c:pt>
                <c:pt idx="4">
                  <c:v>Vestuário</c:v>
                </c:pt>
                <c:pt idx="5">
                  <c:v>Saúde/Farmácia</c:v>
                </c:pt>
                <c:pt idx="6">
                  <c:v>Casa</c:v>
                </c:pt>
                <c:pt idx="7">
                  <c:v>Lazer</c:v>
                </c:pt>
                <c:pt idx="8">
                  <c:v>Viagem</c:v>
                </c:pt>
                <c:pt idx="9">
                  <c:v>Educação</c:v>
                </c:pt>
                <c:pt idx="10">
                  <c:v>Outros</c:v>
                </c:pt>
              </c:strCache>
            </c:strRef>
          </c:cat>
          <c:val>
            <c:numRef>
              <c:f>'Janeiro-Cartão'!$J$10:$J$20</c:f>
              <c:numCache>
                <c:formatCode>"R$ "#,##0.00;[Red]"-R$ "#,##0.00;\-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1-4EC8-B01A-3955F0332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27782"/>
        <c:axId val="11265542"/>
      </c:barChart>
      <c:catAx>
        <c:axId val="3352778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11265542"/>
        <c:crosses val="autoZero"/>
        <c:auto val="1"/>
        <c:lblAlgn val="ctr"/>
        <c:lblOffset val="100"/>
        <c:noMultiLvlLbl val="0"/>
      </c:catAx>
      <c:valAx>
        <c:axId val="1126554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-R$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335277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'Fevereiro-Cartão'!$J$9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'Fevereiro-Cartão'!$I$10:$I$20</c:f>
              <c:strCache>
                <c:ptCount val="11"/>
                <c:pt idx="0">
                  <c:v>Mercado</c:v>
                </c:pt>
                <c:pt idx="1">
                  <c:v>Restaurantes/Delivery</c:v>
                </c:pt>
                <c:pt idx="2">
                  <c:v>Transporte/Combustível</c:v>
                </c:pt>
                <c:pt idx="3">
                  <c:v>Assinaturas/Streaming</c:v>
                </c:pt>
                <c:pt idx="4">
                  <c:v>Vestuário</c:v>
                </c:pt>
                <c:pt idx="5">
                  <c:v>Saúde/Farmácia</c:v>
                </c:pt>
                <c:pt idx="6">
                  <c:v>Casa</c:v>
                </c:pt>
                <c:pt idx="7">
                  <c:v>Lazer</c:v>
                </c:pt>
                <c:pt idx="8">
                  <c:v>Viagem</c:v>
                </c:pt>
                <c:pt idx="9">
                  <c:v>Educação</c:v>
                </c:pt>
                <c:pt idx="10">
                  <c:v>Outros</c:v>
                </c:pt>
              </c:strCache>
            </c:strRef>
          </c:cat>
          <c:val>
            <c:numRef>
              <c:f>'Fevereiro-Cartão'!$J$10:$J$20</c:f>
              <c:numCache>
                <c:formatCode>"R$ "#,##0.00;[Red]"-R$ "#,##0.00;\-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E-4216-861A-08B5C3467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27782"/>
        <c:axId val="11265542"/>
      </c:barChart>
      <c:catAx>
        <c:axId val="3352778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11265542"/>
        <c:crosses val="autoZero"/>
        <c:auto val="1"/>
        <c:lblAlgn val="ctr"/>
        <c:lblOffset val="100"/>
        <c:noMultiLvlLbl val="0"/>
      </c:catAx>
      <c:valAx>
        <c:axId val="1126554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-R$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335277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'Março-Cartão'!$J$9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'Março-Cartão'!$I$10:$I$20</c:f>
              <c:strCache>
                <c:ptCount val="11"/>
                <c:pt idx="0">
                  <c:v>Mercado</c:v>
                </c:pt>
                <c:pt idx="1">
                  <c:v>Restaurantes/Delivery</c:v>
                </c:pt>
                <c:pt idx="2">
                  <c:v>Transporte/Combustível</c:v>
                </c:pt>
                <c:pt idx="3">
                  <c:v>Assinaturas/Streaming</c:v>
                </c:pt>
                <c:pt idx="4">
                  <c:v>Vestuário</c:v>
                </c:pt>
                <c:pt idx="5">
                  <c:v>Saúde/Farmácia</c:v>
                </c:pt>
                <c:pt idx="6">
                  <c:v>Casa</c:v>
                </c:pt>
                <c:pt idx="7">
                  <c:v>Lazer</c:v>
                </c:pt>
                <c:pt idx="8">
                  <c:v>Viagem</c:v>
                </c:pt>
                <c:pt idx="9">
                  <c:v>Educação</c:v>
                </c:pt>
                <c:pt idx="10">
                  <c:v>Outros</c:v>
                </c:pt>
              </c:strCache>
            </c:strRef>
          </c:cat>
          <c:val>
            <c:numRef>
              <c:f>'Março-Cartão'!$J$10:$J$20</c:f>
              <c:numCache>
                <c:formatCode>"R$ "#,##0.00;[Red]"-R$ "#,##0.00;\-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3-4FA9-B468-C69500ED4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27782"/>
        <c:axId val="11265542"/>
      </c:barChart>
      <c:catAx>
        <c:axId val="3352778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11265542"/>
        <c:crosses val="autoZero"/>
        <c:auto val="1"/>
        <c:lblAlgn val="ctr"/>
        <c:lblOffset val="100"/>
        <c:noMultiLvlLbl val="0"/>
      </c:catAx>
      <c:valAx>
        <c:axId val="1126554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-R$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335277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'Abril-Cartão'!$J$9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'Abril-Cartão'!$I$10:$I$20</c:f>
              <c:strCache>
                <c:ptCount val="11"/>
                <c:pt idx="0">
                  <c:v>Mercado</c:v>
                </c:pt>
                <c:pt idx="1">
                  <c:v>Restaurantes/Delivery</c:v>
                </c:pt>
                <c:pt idx="2">
                  <c:v>Transporte/Combustível</c:v>
                </c:pt>
                <c:pt idx="3">
                  <c:v>Assinaturas/Streaming</c:v>
                </c:pt>
                <c:pt idx="4">
                  <c:v>Vestuário</c:v>
                </c:pt>
                <c:pt idx="5">
                  <c:v>Saúde/Farmácia</c:v>
                </c:pt>
                <c:pt idx="6">
                  <c:v>Casa</c:v>
                </c:pt>
                <c:pt idx="7">
                  <c:v>Lazer</c:v>
                </c:pt>
                <c:pt idx="8">
                  <c:v>Viagem</c:v>
                </c:pt>
                <c:pt idx="9">
                  <c:v>Educação</c:v>
                </c:pt>
                <c:pt idx="10">
                  <c:v>Outros</c:v>
                </c:pt>
              </c:strCache>
            </c:strRef>
          </c:cat>
          <c:val>
            <c:numRef>
              <c:f>'Abril-Cartão'!$J$10:$J$20</c:f>
              <c:numCache>
                <c:formatCode>"R$ "#,##0.00;[Red]"-R$ "#,##0.00;\-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B-434E-B521-74F7B7D8F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27782"/>
        <c:axId val="11265542"/>
      </c:barChart>
      <c:catAx>
        <c:axId val="3352778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11265542"/>
        <c:crosses val="autoZero"/>
        <c:auto val="1"/>
        <c:lblAlgn val="ctr"/>
        <c:lblOffset val="100"/>
        <c:noMultiLvlLbl val="0"/>
      </c:catAx>
      <c:valAx>
        <c:axId val="1126554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-R$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335277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'Maio-Cartão'!$J$9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'Maio-Cartão'!$I$10:$I$20</c:f>
              <c:strCache>
                <c:ptCount val="11"/>
                <c:pt idx="0">
                  <c:v>Mercado</c:v>
                </c:pt>
                <c:pt idx="1">
                  <c:v>Restaurantes/Delivery</c:v>
                </c:pt>
                <c:pt idx="2">
                  <c:v>Transporte/Combustível</c:v>
                </c:pt>
                <c:pt idx="3">
                  <c:v>Assinaturas/Streaming</c:v>
                </c:pt>
                <c:pt idx="4">
                  <c:v>Vestuário</c:v>
                </c:pt>
                <c:pt idx="5">
                  <c:v>Saúde/Farmácia</c:v>
                </c:pt>
                <c:pt idx="6">
                  <c:v>Casa</c:v>
                </c:pt>
                <c:pt idx="7">
                  <c:v>Lazer</c:v>
                </c:pt>
                <c:pt idx="8">
                  <c:v>Viagem</c:v>
                </c:pt>
                <c:pt idx="9">
                  <c:v>Educação</c:v>
                </c:pt>
                <c:pt idx="10">
                  <c:v>Outros</c:v>
                </c:pt>
              </c:strCache>
            </c:strRef>
          </c:cat>
          <c:val>
            <c:numRef>
              <c:f>'Maio-Cartão'!$J$10:$J$20</c:f>
              <c:numCache>
                <c:formatCode>"R$ "#,##0.00;[Red]"-R$ "#,##0.00;\-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E-4871-AFDF-015C3A915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27782"/>
        <c:axId val="11265542"/>
      </c:barChart>
      <c:catAx>
        <c:axId val="3352778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11265542"/>
        <c:crosses val="autoZero"/>
        <c:auto val="1"/>
        <c:lblAlgn val="ctr"/>
        <c:lblOffset val="100"/>
        <c:noMultiLvlLbl val="0"/>
      </c:catAx>
      <c:valAx>
        <c:axId val="1126554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-R$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335277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'Junho-Cartão'!$J$9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'Junho-Cartão'!$I$10:$I$20</c:f>
              <c:strCache>
                <c:ptCount val="11"/>
                <c:pt idx="0">
                  <c:v>Mercado</c:v>
                </c:pt>
                <c:pt idx="1">
                  <c:v>Restaurantes/Delivery</c:v>
                </c:pt>
                <c:pt idx="2">
                  <c:v>Transporte/Combustível</c:v>
                </c:pt>
                <c:pt idx="3">
                  <c:v>Assinaturas/Streaming</c:v>
                </c:pt>
                <c:pt idx="4">
                  <c:v>Vestuário</c:v>
                </c:pt>
                <c:pt idx="5">
                  <c:v>Saúde/Farmácia</c:v>
                </c:pt>
                <c:pt idx="6">
                  <c:v>Casa</c:v>
                </c:pt>
                <c:pt idx="7">
                  <c:v>Lazer</c:v>
                </c:pt>
                <c:pt idx="8">
                  <c:v>Viagem</c:v>
                </c:pt>
                <c:pt idx="9">
                  <c:v>Educação</c:v>
                </c:pt>
                <c:pt idx="10">
                  <c:v>Outros</c:v>
                </c:pt>
              </c:strCache>
            </c:strRef>
          </c:cat>
          <c:val>
            <c:numRef>
              <c:f>'Junho-Cartão'!$J$10:$J$20</c:f>
              <c:numCache>
                <c:formatCode>"R$ "#,##0.00;[Red]"-R$ "#,##0.00;\-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7-4665-BD42-1D58E17BA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27782"/>
        <c:axId val="11265542"/>
      </c:barChart>
      <c:catAx>
        <c:axId val="3352778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11265542"/>
        <c:crosses val="autoZero"/>
        <c:auto val="1"/>
        <c:lblAlgn val="ctr"/>
        <c:lblOffset val="100"/>
        <c:noMultiLvlLbl val="0"/>
      </c:catAx>
      <c:valAx>
        <c:axId val="1126554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-R$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335277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'Julho-Cartão'!$J$9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'Julho-Cartão'!$I$10:$I$20</c:f>
              <c:strCache>
                <c:ptCount val="11"/>
                <c:pt idx="0">
                  <c:v>Mercado</c:v>
                </c:pt>
                <c:pt idx="1">
                  <c:v>Restaurantes/Delivery</c:v>
                </c:pt>
                <c:pt idx="2">
                  <c:v>Transporte/Combustível</c:v>
                </c:pt>
                <c:pt idx="3">
                  <c:v>Assinaturas/Streaming</c:v>
                </c:pt>
                <c:pt idx="4">
                  <c:v>Vestuário</c:v>
                </c:pt>
                <c:pt idx="5">
                  <c:v>Saúde/Farmácia</c:v>
                </c:pt>
                <c:pt idx="6">
                  <c:v>Casa</c:v>
                </c:pt>
                <c:pt idx="7">
                  <c:v>Lazer</c:v>
                </c:pt>
                <c:pt idx="8">
                  <c:v>Viagem</c:v>
                </c:pt>
                <c:pt idx="9">
                  <c:v>Educação</c:v>
                </c:pt>
                <c:pt idx="10">
                  <c:v>Outros</c:v>
                </c:pt>
              </c:strCache>
            </c:strRef>
          </c:cat>
          <c:val>
            <c:numRef>
              <c:f>'Julho-Cartão'!$J$10:$J$20</c:f>
              <c:numCache>
                <c:formatCode>"R$ "#,##0.00;[Red]"-R$ "#,##0.00;\-</c:formatCode>
                <c:ptCount val="11"/>
                <c:pt idx="0">
                  <c:v>272.84000000000003</c:v>
                </c:pt>
                <c:pt idx="1">
                  <c:v>1709.5100000000002</c:v>
                </c:pt>
                <c:pt idx="2">
                  <c:v>277.63</c:v>
                </c:pt>
                <c:pt idx="3">
                  <c:v>118.44999999999999</c:v>
                </c:pt>
                <c:pt idx="4">
                  <c:v>807.94999999999993</c:v>
                </c:pt>
                <c:pt idx="5">
                  <c:v>271.14999999999998</c:v>
                </c:pt>
                <c:pt idx="6">
                  <c:v>227.92</c:v>
                </c:pt>
                <c:pt idx="7">
                  <c:v>136.1</c:v>
                </c:pt>
                <c:pt idx="8">
                  <c:v>153.76000000000002</c:v>
                </c:pt>
                <c:pt idx="9">
                  <c:v>349.16999999999996</c:v>
                </c:pt>
                <c:pt idx="10">
                  <c:v>499.09999999999991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2-4A60-BBFA-F2D28FDF2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27782"/>
        <c:axId val="11265542"/>
      </c:barChart>
      <c:catAx>
        <c:axId val="3352778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11265542"/>
        <c:crosses val="autoZero"/>
        <c:auto val="1"/>
        <c:lblAlgn val="ctr"/>
        <c:lblOffset val="100"/>
        <c:noMultiLvlLbl val="0"/>
      </c:catAx>
      <c:valAx>
        <c:axId val="1126554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-R$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335277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'Agosto-Cartão'!$J$9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'Agosto-Cartão'!$I$10:$I$20</c:f>
              <c:strCache>
                <c:ptCount val="11"/>
                <c:pt idx="0">
                  <c:v>Mercado</c:v>
                </c:pt>
                <c:pt idx="1">
                  <c:v>Restaurantes/Delivery</c:v>
                </c:pt>
                <c:pt idx="2">
                  <c:v>Transporte/Combustível</c:v>
                </c:pt>
                <c:pt idx="3">
                  <c:v>Assinaturas/Streaming</c:v>
                </c:pt>
                <c:pt idx="4">
                  <c:v>Vestuário</c:v>
                </c:pt>
                <c:pt idx="5">
                  <c:v>Saúde/Farmácia</c:v>
                </c:pt>
                <c:pt idx="6">
                  <c:v>Casa</c:v>
                </c:pt>
                <c:pt idx="7">
                  <c:v>Lazer</c:v>
                </c:pt>
                <c:pt idx="8">
                  <c:v>Viagem</c:v>
                </c:pt>
                <c:pt idx="9">
                  <c:v>Educação</c:v>
                </c:pt>
                <c:pt idx="10">
                  <c:v>Outros</c:v>
                </c:pt>
              </c:strCache>
            </c:strRef>
          </c:cat>
          <c:val>
            <c:numRef>
              <c:f>'Agosto-Cartão'!$J$10:$J$20</c:f>
              <c:numCache>
                <c:formatCode>"R$ "#,##0.00;[Red]"-R$ "#,##0.00;\-</c:formatCode>
                <c:ptCount val="11"/>
                <c:pt idx="0">
                  <c:v>263.63</c:v>
                </c:pt>
                <c:pt idx="1">
                  <c:v>1473.5800000000002</c:v>
                </c:pt>
                <c:pt idx="2">
                  <c:v>188.66</c:v>
                </c:pt>
                <c:pt idx="3">
                  <c:v>98.55</c:v>
                </c:pt>
                <c:pt idx="4">
                  <c:v>128.47999999999999</c:v>
                </c:pt>
                <c:pt idx="5">
                  <c:v>245.66</c:v>
                </c:pt>
                <c:pt idx="6">
                  <c:v>8</c:v>
                </c:pt>
                <c:pt idx="7">
                  <c:v>96</c:v>
                </c:pt>
                <c:pt idx="8">
                  <c:v>0</c:v>
                </c:pt>
                <c:pt idx="9">
                  <c:v>459.06999999999994</c:v>
                </c:pt>
                <c:pt idx="10">
                  <c:v>587.56000000000006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A-49C8-B618-09C2324A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27782"/>
        <c:axId val="11265542"/>
      </c:barChart>
      <c:catAx>
        <c:axId val="3352778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11265542"/>
        <c:crosses val="autoZero"/>
        <c:auto val="1"/>
        <c:lblAlgn val="ctr"/>
        <c:lblOffset val="100"/>
        <c:noMultiLvlLbl val="0"/>
      </c:catAx>
      <c:valAx>
        <c:axId val="1126554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-R$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335277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'Setembro-Cartão'!$J$9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'Setembro-Cartão'!$I$10:$I$20</c:f>
              <c:strCache>
                <c:ptCount val="11"/>
                <c:pt idx="0">
                  <c:v>Mercado</c:v>
                </c:pt>
                <c:pt idx="1">
                  <c:v>Restaurantes/Delivery</c:v>
                </c:pt>
                <c:pt idx="2">
                  <c:v>Transporte/Combustível</c:v>
                </c:pt>
                <c:pt idx="3">
                  <c:v>Assinaturas/Streaming</c:v>
                </c:pt>
                <c:pt idx="4">
                  <c:v>Vestuário</c:v>
                </c:pt>
                <c:pt idx="5">
                  <c:v>Saúde/Farmácia</c:v>
                </c:pt>
                <c:pt idx="6">
                  <c:v>Casa</c:v>
                </c:pt>
                <c:pt idx="7">
                  <c:v>Lazer</c:v>
                </c:pt>
                <c:pt idx="8">
                  <c:v>Viagem</c:v>
                </c:pt>
                <c:pt idx="9">
                  <c:v>Educação</c:v>
                </c:pt>
                <c:pt idx="10">
                  <c:v>Outros</c:v>
                </c:pt>
              </c:strCache>
            </c:strRef>
          </c:cat>
          <c:val>
            <c:numRef>
              <c:f>'Setembro-Cartão'!$J$10:$J$20</c:f>
              <c:numCache>
                <c:formatCode>"R$ "#,##0.00;[Red]"-R$ "#,##0.00;\-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D-4FB2-9BBB-F89606382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27782"/>
        <c:axId val="11265542"/>
      </c:barChart>
      <c:catAx>
        <c:axId val="3352778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11265542"/>
        <c:crosses val="autoZero"/>
        <c:auto val="1"/>
        <c:lblAlgn val="ctr"/>
        <c:lblOffset val="100"/>
        <c:noMultiLvlLbl val="0"/>
      </c:catAx>
      <c:valAx>
        <c:axId val="1126554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-R$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335277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'Outubro-Cartão'!$J$9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'Outubro-Cartão'!$I$10:$I$20</c:f>
              <c:strCache>
                <c:ptCount val="11"/>
                <c:pt idx="0">
                  <c:v>Mercado</c:v>
                </c:pt>
                <c:pt idx="1">
                  <c:v>Restaurantes/Delivery</c:v>
                </c:pt>
                <c:pt idx="2">
                  <c:v>Transporte/Combustível</c:v>
                </c:pt>
                <c:pt idx="3">
                  <c:v>Assinaturas/Streaming</c:v>
                </c:pt>
                <c:pt idx="4">
                  <c:v>Vestuário</c:v>
                </c:pt>
                <c:pt idx="5">
                  <c:v>Saúde/Farmácia</c:v>
                </c:pt>
                <c:pt idx="6">
                  <c:v>Casa</c:v>
                </c:pt>
                <c:pt idx="7">
                  <c:v>Lazer</c:v>
                </c:pt>
                <c:pt idx="8">
                  <c:v>Viagem</c:v>
                </c:pt>
                <c:pt idx="9">
                  <c:v>Educação</c:v>
                </c:pt>
                <c:pt idx="10">
                  <c:v>Outros</c:v>
                </c:pt>
              </c:strCache>
            </c:strRef>
          </c:cat>
          <c:val>
            <c:numRef>
              <c:f>'Outubro-Cartão'!$J$10:$J$20</c:f>
              <c:numCache>
                <c:formatCode>"R$ "#,##0.00;[Red]"-R$ "#,##0.00;\-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B-4319-B91B-51F281029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27782"/>
        <c:axId val="11265542"/>
      </c:barChart>
      <c:catAx>
        <c:axId val="3352778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11265542"/>
        <c:crosses val="autoZero"/>
        <c:auto val="1"/>
        <c:lblAlgn val="ctr"/>
        <c:lblOffset val="100"/>
        <c:noMultiLvlLbl val="0"/>
      </c:catAx>
      <c:valAx>
        <c:axId val="1126554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-R$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335277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'Novembro-Cartão'!$J$9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'Novembro-Cartão'!$I$10:$I$20</c:f>
              <c:strCache>
                <c:ptCount val="11"/>
                <c:pt idx="0">
                  <c:v>Mercado</c:v>
                </c:pt>
                <c:pt idx="1">
                  <c:v>Restaurantes/Delivery</c:v>
                </c:pt>
                <c:pt idx="2">
                  <c:v>Transporte/Combustível</c:v>
                </c:pt>
                <c:pt idx="3">
                  <c:v>Assinaturas/Streaming</c:v>
                </c:pt>
                <c:pt idx="4">
                  <c:v>Vestuário</c:v>
                </c:pt>
                <c:pt idx="5">
                  <c:v>Saúde/Farmácia</c:v>
                </c:pt>
                <c:pt idx="6">
                  <c:v>Casa</c:v>
                </c:pt>
                <c:pt idx="7">
                  <c:v>Lazer</c:v>
                </c:pt>
                <c:pt idx="8">
                  <c:v>Viagem</c:v>
                </c:pt>
                <c:pt idx="9">
                  <c:v>Educação</c:v>
                </c:pt>
                <c:pt idx="10">
                  <c:v>Outros</c:v>
                </c:pt>
              </c:strCache>
            </c:strRef>
          </c:cat>
          <c:val>
            <c:numRef>
              <c:f>'Novembro-Cartão'!$J$10:$J$20</c:f>
              <c:numCache>
                <c:formatCode>"R$ "#,##0.00;[Red]"-R$ "#,##0.00;\-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D-4380-8968-74AF88883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27782"/>
        <c:axId val="11265542"/>
      </c:barChart>
      <c:catAx>
        <c:axId val="3352778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11265542"/>
        <c:crosses val="autoZero"/>
        <c:auto val="1"/>
        <c:lblAlgn val="ctr"/>
        <c:lblOffset val="100"/>
        <c:noMultiLvlLbl val="0"/>
      </c:catAx>
      <c:valAx>
        <c:axId val="1126554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-R$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335277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'Dezembro-Cartão'!$J$9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'Dezembro-Cartão'!$I$10:$I$20</c:f>
              <c:strCache>
                <c:ptCount val="11"/>
                <c:pt idx="0">
                  <c:v>Mercado</c:v>
                </c:pt>
                <c:pt idx="1">
                  <c:v>Restaurantes/Delivery</c:v>
                </c:pt>
                <c:pt idx="2">
                  <c:v>Transporte/Combustível</c:v>
                </c:pt>
                <c:pt idx="3">
                  <c:v>Assinaturas/Streaming</c:v>
                </c:pt>
                <c:pt idx="4">
                  <c:v>Vestuário</c:v>
                </c:pt>
                <c:pt idx="5">
                  <c:v>Saúde/Farmácia</c:v>
                </c:pt>
                <c:pt idx="6">
                  <c:v>Casa</c:v>
                </c:pt>
                <c:pt idx="7">
                  <c:v>Lazer</c:v>
                </c:pt>
                <c:pt idx="8">
                  <c:v>Viagem</c:v>
                </c:pt>
                <c:pt idx="9">
                  <c:v>Educação</c:v>
                </c:pt>
                <c:pt idx="10">
                  <c:v>Outros</c:v>
                </c:pt>
              </c:strCache>
            </c:strRef>
          </c:cat>
          <c:val>
            <c:numRef>
              <c:f>'Dezembro-Cartão'!$J$10:$J$20</c:f>
              <c:numCache>
                <c:formatCode>"R$ "#,##0.00;[Red]"-R$ "#,##0.00;\-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9-4E87-8F4F-3D25ACA56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27782"/>
        <c:axId val="11265542"/>
      </c:barChart>
      <c:catAx>
        <c:axId val="3352778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11265542"/>
        <c:crosses val="autoZero"/>
        <c:auto val="1"/>
        <c:lblAlgn val="ctr"/>
        <c:lblOffset val="100"/>
        <c:noMultiLvlLbl val="0"/>
      </c:catAx>
      <c:valAx>
        <c:axId val="1126554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-R$ 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335277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120650</xdr:colOff>
      <xdr:row>21</xdr:row>
      <xdr:rowOff>114300</xdr:rowOff>
    </xdr:from>
    <xdr:to>
      <xdr:col>17</xdr:col>
      <xdr:colOff>482600</xdr:colOff>
      <xdr:row>40</xdr:row>
      <xdr:rowOff>94440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25E146-94EA-4611-A654-7FEE4E0A3F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120650</xdr:colOff>
      <xdr:row>21</xdr:row>
      <xdr:rowOff>114300</xdr:rowOff>
    </xdr:from>
    <xdr:to>
      <xdr:col>17</xdr:col>
      <xdr:colOff>482600</xdr:colOff>
      <xdr:row>40</xdr:row>
      <xdr:rowOff>94440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36AF64-7296-4DA5-87C5-D20C0AAE2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120650</xdr:colOff>
      <xdr:row>21</xdr:row>
      <xdr:rowOff>114300</xdr:rowOff>
    </xdr:from>
    <xdr:to>
      <xdr:col>17</xdr:col>
      <xdr:colOff>482600</xdr:colOff>
      <xdr:row>40</xdr:row>
      <xdr:rowOff>94440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F0327E-A62E-4884-B970-64F784D243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120650</xdr:colOff>
      <xdr:row>21</xdr:row>
      <xdr:rowOff>114300</xdr:rowOff>
    </xdr:from>
    <xdr:to>
      <xdr:col>17</xdr:col>
      <xdr:colOff>482600</xdr:colOff>
      <xdr:row>40</xdr:row>
      <xdr:rowOff>94440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2B4BA0-F64F-4E2F-BC25-D5C5685D3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120650</xdr:colOff>
      <xdr:row>21</xdr:row>
      <xdr:rowOff>114300</xdr:rowOff>
    </xdr:from>
    <xdr:to>
      <xdr:col>17</xdr:col>
      <xdr:colOff>482600</xdr:colOff>
      <xdr:row>40</xdr:row>
      <xdr:rowOff>94440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E9024-B04C-423B-BA01-4C49E68BE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120650</xdr:colOff>
      <xdr:row>21</xdr:row>
      <xdr:rowOff>114300</xdr:rowOff>
    </xdr:from>
    <xdr:to>
      <xdr:col>17</xdr:col>
      <xdr:colOff>482600</xdr:colOff>
      <xdr:row>40</xdr:row>
      <xdr:rowOff>94440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BF5CFF-E504-4BD7-A329-5394B5542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120650</xdr:colOff>
      <xdr:row>21</xdr:row>
      <xdr:rowOff>114300</xdr:rowOff>
    </xdr:from>
    <xdr:to>
      <xdr:col>17</xdr:col>
      <xdr:colOff>482600</xdr:colOff>
      <xdr:row>40</xdr:row>
      <xdr:rowOff>94440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120650</xdr:colOff>
      <xdr:row>21</xdr:row>
      <xdr:rowOff>114300</xdr:rowOff>
    </xdr:from>
    <xdr:to>
      <xdr:col>17</xdr:col>
      <xdr:colOff>482600</xdr:colOff>
      <xdr:row>40</xdr:row>
      <xdr:rowOff>94440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A66D2C-5459-4985-8ABE-47A122751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120650</xdr:colOff>
      <xdr:row>21</xdr:row>
      <xdr:rowOff>114300</xdr:rowOff>
    </xdr:from>
    <xdr:to>
      <xdr:col>17</xdr:col>
      <xdr:colOff>482600</xdr:colOff>
      <xdr:row>40</xdr:row>
      <xdr:rowOff>94440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8B97BD-07E1-4384-AB45-999249A3B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120650</xdr:colOff>
      <xdr:row>21</xdr:row>
      <xdr:rowOff>114300</xdr:rowOff>
    </xdr:from>
    <xdr:to>
      <xdr:col>17</xdr:col>
      <xdr:colOff>482600</xdr:colOff>
      <xdr:row>40</xdr:row>
      <xdr:rowOff>94440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601844-C5C3-4795-8B4B-490B6E1879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120650</xdr:colOff>
      <xdr:row>21</xdr:row>
      <xdr:rowOff>114300</xdr:rowOff>
    </xdr:from>
    <xdr:to>
      <xdr:col>17</xdr:col>
      <xdr:colOff>482600</xdr:colOff>
      <xdr:row>40</xdr:row>
      <xdr:rowOff>94440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A0996-312E-47C3-B542-B22855D11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120650</xdr:colOff>
      <xdr:row>21</xdr:row>
      <xdr:rowOff>114300</xdr:rowOff>
    </xdr:from>
    <xdr:to>
      <xdr:col>17</xdr:col>
      <xdr:colOff>482600</xdr:colOff>
      <xdr:row>40</xdr:row>
      <xdr:rowOff>94440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40DD29-BB64-4943-A1A6-C4995FE29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A1C933-E498-4890-9616-D8A94A2FC14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3577ed3-cc66-4836-b393-bf6b44c834f1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B2:G25"/>
  <sheetViews>
    <sheetView showGridLines="0" zoomScaleNormal="100" workbookViewId="0">
      <selection activeCell="J8" sqref="J8"/>
    </sheetView>
  </sheetViews>
  <sheetFormatPr defaultColWidth="8.7109375" defaultRowHeight="15" x14ac:dyDescent="0.25"/>
  <cols>
    <col min="1" max="1" width="2" customWidth="1"/>
    <col min="2" max="2" width="16" customWidth="1"/>
    <col min="3" max="5" width="14" customWidth="1"/>
    <col min="6" max="6" width="17.5703125" customWidth="1"/>
    <col min="7" max="7" width="14" customWidth="1"/>
  </cols>
  <sheetData>
    <row r="2" spans="2:7" ht="24" customHeight="1" x14ac:dyDescent="0.25">
      <c r="B2" s="45" t="s">
        <v>0</v>
      </c>
      <c r="C2" s="45"/>
      <c r="D2" s="45"/>
      <c r="E2" s="45"/>
      <c r="F2" s="45"/>
      <c r="G2" s="45"/>
    </row>
    <row r="5" spans="2:7" x14ac:dyDescent="0.25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</row>
    <row r="6" spans="2:7" x14ac:dyDescent="0.25">
      <c r="B6" s="2" t="s">
        <v>7</v>
      </c>
      <c r="C6" s="3">
        <f>IFERROR(Janeiro!C4,0)</f>
        <v>0</v>
      </c>
      <c r="D6" s="3">
        <f>IFERROR(Janeiro!C5,0)</f>
        <v>0</v>
      </c>
      <c r="E6" s="4">
        <f t="shared" ref="E6:E17" si="0">C6-D6</f>
        <v>0</v>
      </c>
      <c r="F6" s="4">
        <f>SUM($E$6:E6)</f>
        <v>0</v>
      </c>
      <c r="G6" s="3">
        <f>IFERROR('Janeiro-Cartão'!D4,0)</f>
        <v>0</v>
      </c>
    </row>
    <row r="7" spans="2:7" x14ac:dyDescent="0.25">
      <c r="B7" s="2" t="s">
        <v>8</v>
      </c>
      <c r="C7" s="3">
        <f>IFERROR(Fevereiro!C4,0)</f>
        <v>0</v>
      </c>
      <c r="D7" s="3">
        <f>IFERROR(Fevereiro!C5,0)</f>
        <v>0</v>
      </c>
      <c r="E7" s="4">
        <f t="shared" si="0"/>
        <v>0</v>
      </c>
      <c r="F7" s="4">
        <f>SUM($E$6:E7)</f>
        <v>0</v>
      </c>
      <c r="G7" s="3">
        <f>IFERROR('Fevereiro-Cartão'!D4,0)</f>
        <v>0</v>
      </c>
    </row>
    <row r="8" spans="2:7" x14ac:dyDescent="0.25">
      <c r="B8" s="2" t="s">
        <v>9</v>
      </c>
      <c r="C8" s="3">
        <f>IFERROR(Março!C4,0)</f>
        <v>0</v>
      </c>
      <c r="D8" s="3">
        <f>IFERROR(Março!C5,0)</f>
        <v>0</v>
      </c>
      <c r="E8" s="4">
        <f t="shared" si="0"/>
        <v>0</v>
      </c>
      <c r="F8" s="4">
        <f>SUM($E$6:E8)</f>
        <v>0</v>
      </c>
      <c r="G8" s="3">
        <f>IFERROR('Março-Cartão'!D4,0)</f>
        <v>0</v>
      </c>
    </row>
    <row r="9" spans="2:7" x14ac:dyDescent="0.25">
      <c r="B9" s="2" t="s">
        <v>10</v>
      </c>
      <c r="C9" s="3">
        <f>IFERROR(Abril!C4,0)</f>
        <v>0</v>
      </c>
      <c r="D9" s="3">
        <f>IFERROR(Abril!C5,0)</f>
        <v>0</v>
      </c>
      <c r="E9" s="4">
        <f t="shared" si="0"/>
        <v>0</v>
      </c>
      <c r="F9" s="4">
        <f>SUM($E$6:E9)</f>
        <v>0</v>
      </c>
      <c r="G9" s="3">
        <f>IFERROR('Abril-Cartão'!D4,0)</f>
        <v>0</v>
      </c>
    </row>
    <row r="10" spans="2:7" x14ac:dyDescent="0.25">
      <c r="B10" s="2" t="s">
        <v>11</v>
      </c>
      <c r="C10" s="3">
        <f>IFERROR(Maio!C4,0)</f>
        <v>0</v>
      </c>
      <c r="D10" s="3">
        <f>IFERROR(Maio!C5,0)</f>
        <v>0</v>
      </c>
      <c r="E10" s="4">
        <f t="shared" si="0"/>
        <v>0</v>
      </c>
      <c r="F10" s="4">
        <f>SUM($E$6:E10)</f>
        <v>0</v>
      </c>
      <c r="G10" s="3">
        <f>IFERROR('Maio-Cartão'!D4,0)</f>
        <v>0</v>
      </c>
    </row>
    <row r="11" spans="2:7" x14ac:dyDescent="0.25">
      <c r="B11" s="2" t="s">
        <v>12</v>
      </c>
      <c r="C11" s="3">
        <f>IFERROR(Junho!C4,0)</f>
        <v>0</v>
      </c>
      <c r="D11" s="3">
        <f>IFERROR(Junho!C5,0)</f>
        <v>0</v>
      </c>
      <c r="E11" s="4">
        <f t="shared" si="0"/>
        <v>0</v>
      </c>
      <c r="F11" s="4">
        <f>SUM($E$6:E11)</f>
        <v>0</v>
      </c>
      <c r="G11" s="3">
        <f>IFERROR('Junho-Cartão'!D4,0)</f>
        <v>0</v>
      </c>
    </row>
    <row r="12" spans="2:7" x14ac:dyDescent="0.25">
      <c r="B12" s="2" t="s">
        <v>13</v>
      </c>
      <c r="C12" s="3">
        <f>IFERROR(Julho!C4,0)</f>
        <v>10950.24</v>
      </c>
      <c r="D12" s="3">
        <f>IFERROR(Julho!C5,0)</f>
        <v>9298.4739999999983</v>
      </c>
      <c r="E12" s="4">
        <f t="shared" si="0"/>
        <v>1651.7660000000014</v>
      </c>
      <c r="F12" s="4">
        <f>SUM($E$6:E12)</f>
        <v>1651.7660000000014</v>
      </c>
      <c r="G12" s="3">
        <f>IFERROR('Julho-Cartão'!D4,0)</f>
        <v>4823.579999999999</v>
      </c>
    </row>
    <row r="13" spans="2:7" x14ac:dyDescent="0.25">
      <c r="B13" s="2" t="s">
        <v>14</v>
      </c>
      <c r="C13" s="3">
        <f>IFERROR(Agosto!C4,0)</f>
        <v>17241.54</v>
      </c>
      <c r="D13" s="3">
        <f>IFERROR(Agosto!C5,0)</f>
        <v>20477.423999999999</v>
      </c>
      <c r="E13" s="4">
        <f t="shared" si="0"/>
        <v>-3235.8839999999982</v>
      </c>
      <c r="F13" s="4">
        <f>SUM($E$6:E13)</f>
        <v>-1584.1179999999968</v>
      </c>
      <c r="G13" s="3">
        <f>IFERROR('Agosto-Cartão'!D4,0)</f>
        <v>3549.19</v>
      </c>
    </row>
    <row r="14" spans="2:7" x14ac:dyDescent="0.25">
      <c r="B14" s="2" t="s">
        <v>15</v>
      </c>
      <c r="C14" s="3">
        <f>IFERROR(Setembro!C4,0)</f>
        <v>0</v>
      </c>
      <c r="D14" s="3">
        <f>IFERROR(Setembro!C5,0)</f>
        <v>0</v>
      </c>
      <c r="E14" s="4">
        <f t="shared" si="0"/>
        <v>0</v>
      </c>
      <c r="F14" s="4">
        <f>SUM($E$6:E14)</f>
        <v>-1584.1179999999968</v>
      </c>
      <c r="G14" s="3">
        <f>IFERROR('Setembro-Cartão'!D4,0)</f>
        <v>0</v>
      </c>
    </row>
    <row r="15" spans="2:7" x14ac:dyDescent="0.25">
      <c r="B15" s="2" t="s">
        <v>16</v>
      </c>
      <c r="C15" s="3">
        <f>IFERROR(Outubro!C4,0)</f>
        <v>0</v>
      </c>
      <c r="D15" s="3">
        <f>IFERROR(Outubro!C5,0)</f>
        <v>0</v>
      </c>
      <c r="E15" s="4">
        <f t="shared" si="0"/>
        <v>0</v>
      </c>
      <c r="F15" s="4">
        <f>SUM($E$6:E15)</f>
        <v>-1584.1179999999968</v>
      </c>
      <c r="G15" s="3">
        <f>IFERROR('Outubro-Cartão'!D4,0)</f>
        <v>0</v>
      </c>
    </row>
    <row r="16" spans="2:7" x14ac:dyDescent="0.25">
      <c r="B16" s="2" t="s">
        <v>17</v>
      </c>
      <c r="C16" s="3">
        <f>IFERROR(Novembro!C4,0)</f>
        <v>0</v>
      </c>
      <c r="D16" s="3">
        <f>IFERROR(Novembro!C5,0)</f>
        <v>0</v>
      </c>
      <c r="E16" s="4">
        <f t="shared" si="0"/>
        <v>0</v>
      </c>
      <c r="F16" s="4">
        <f>SUM($E$6:E16)</f>
        <v>-1584.1179999999968</v>
      </c>
      <c r="G16" s="3">
        <f>IFERROR('Novembro-Cartão'!D4,0)</f>
        <v>0</v>
      </c>
    </row>
    <row r="17" spans="2:7" x14ac:dyDescent="0.25">
      <c r="B17" s="2" t="s">
        <v>18</v>
      </c>
      <c r="C17" s="3">
        <f>IFERROR(Dezembro!C4,0)</f>
        <v>0</v>
      </c>
      <c r="D17" s="3">
        <f>IFERROR(Dezembro!C5,0)</f>
        <v>0</v>
      </c>
      <c r="E17" s="4">
        <f t="shared" si="0"/>
        <v>0</v>
      </c>
      <c r="F17" s="4">
        <f>SUM($E$6:E17)</f>
        <v>-1584.1179999999968</v>
      </c>
      <c r="G17" s="3">
        <f>IFERROR('Dezembro-Cartão'!D4,0)</f>
        <v>0</v>
      </c>
    </row>
    <row r="18" spans="2:7" x14ac:dyDescent="0.25">
      <c r="B18" s="5" t="s">
        <v>19</v>
      </c>
      <c r="C18" s="6">
        <f>SUM(C6:C17)</f>
        <v>28191.78</v>
      </c>
      <c r="D18" s="6">
        <f>SUM(D6:D17)</f>
        <v>29775.897999999997</v>
      </c>
      <c r="E18" s="6">
        <f>SUM(E6:E17)</f>
        <v>-1584.1179999999968</v>
      </c>
      <c r="F18" s="6">
        <f>F17</f>
        <v>-1584.1179999999968</v>
      </c>
      <c r="G18" s="6">
        <f>SUM(G6:G17)</f>
        <v>8372.7699999999986</v>
      </c>
    </row>
    <row r="21" spans="2:7" x14ac:dyDescent="0.25">
      <c r="B21" s="7" t="s">
        <v>20</v>
      </c>
    </row>
    <row r="22" spans="2:7" x14ac:dyDescent="0.25">
      <c r="B22" s="8" t="s">
        <v>21</v>
      </c>
    </row>
    <row r="23" spans="2:7" x14ac:dyDescent="0.25">
      <c r="B23" s="8" t="s">
        <v>22</v>
      </c>
    </row>
    <row r="24" spans="2:7" x14ac:dyDescent="0.25">
      <c r="B24" s="8" t="s">
        <v>23</v>
      </c>
    </row>
    <row r="25" spans="2:7" x14ac:dyDescent="0.25">
      <c r="B25" s="8" t="s">
        <v>24</v>
      </c>
    </row>
  </sheetData>
  <mergeCells count="1"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5BCF-6828-4679-96F2-287F00153B8C}">
  <sheetPr>
    <tabColor theme="3"/>
  </sheetPr>
  <dimension ref="A1:M61"/>
  <sheetViews>
    <sheetView showGridLines="0" zoomScaleNormal="100" workbookViewId="0">
      <selection activeCell="L26" sqref="L26"/>
    </sheetView>
  </sheetViews>
  <sheetFormatPr defaultColWidth="8.7109375" defaultRowHeight="15" x14ac:dyDescent="0.25"/>
  <cols>
    <col min="1" max="1" width="2" customWidth="1"/>
    <col min="2" max="2" width="22" customWidth="1"/>
    <col min="3" max="3" width="14" customWidth="1"/>
    <col min="4" max="4" width="4" customWidth="1"/>
    <col min="5" max="5" width="11" style="18" customWidth="1"/>
    <col min="6" max="6" width="26" customWidth="1"/>
    <col min="7" max="7" width="25.7109375" bestFit="1" customWidth="1"/>
    <col min="8" max="8" width="12" customWidth="1"/>
    <col min="9" max="9" width="12.7109375" customWidth="1"/>
    <col min="10" max="10" width="2" customWidth="1"/>
    <col min="11" max="11" width="26" customWidth="1"/>
    <col min="12" max="12" width="13" customWidth="1"/>
    <col min="13" max="13" width="9.7109375" customWidth="1"/>
  </cols>
  <sheetData>
    <row r="1" spans="1:13" ht="24" customHeight="1" x14ac:dyDescent="0.25">
      <c r="B1" s="45" t="s">
        <v>25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x14ac:dyDescent="0.25">
      <c r="B2" s="7" t="s">
        <v>26</v>
      </c>
      <c r="C2" s="9" t="s">
        <v>7</v>
      </c>
      <c r="D2" s="8" t="s">
        <v>27</v>
      </c>
    </row>
    <row r="4" spans="1:13" x14ac:dyDescent="0.25">
      <c r="B4" s="5" t="s">
        <v>28</v>
      </c>
      <c r="C4" s="6">
        <f>C21</f>
        <v>0</v>
      </c>
      <c r="G4" s="5" t="s">
        <v>71</v>
      </c>
      <c r="H4" s="6">
        <f>SUMIF($I$11:$I$60,"Pago",$H$11:$H$60)</f>
        <v>0</v>
      </c>
    </row>
    <row r="5" spans="1:13" x14ac:dyDescent="0.25">
      <c r="B5" s="5" t="s">
        <v>29</v>
      </c>
      <c r="C5" s="6">
        <f>L20</f>
        <v>0</v>
      </c>
      <c r="G5" s="5" t="s">
        <v>72</v>
      </c>
      <c r="H5" s="6">
        <f>SUMIF($I$11:$I$60,"Não pago",$H$11:$H$60)</f>
        <v>0</v>
      </c>
    </row>
    <row r="6" spans="1:13" x14ac:dyDescent="0.25">
      <c r="B6" s="5" t="s">
        <v>30</v>
      </c>
      <c r="C6" s="6">
        <f>C4-C5</f>
        <v>0</v>
      </c>
    </row>
    <row r="8" spans="1:13" x14ac:dyDescent="0.25">
      <c r="A8" s="18"/>
      <c r="B8" s="18"/>
      <c r="C8" s="18"/>
      <c r="D8" s="18"/>
    </row>
    <row r="9" spans="1:13" ht="16.5" x14ac:dyDescent="0.25">
      <c r="B9" s="45" t="s">
        <v>31</v>
      </c>
      <c r="C9" s="45"/>
      <c r="E9" s="45" t="s">
        <v>32</v>
      </c>
      <c r="F9" s="45"/>
      <c r="G9" s="45"/>
      <c r="H9" s="45"/>
      <c r="I9" s="45"/>
      <c r="K9" s="45" t="s">
        <v>33</v>
      </c>
      <c r="L9" s="45"/>
      <c r="M9" s="45"/>
    </row>
    <row r="10" spans="1:13" x14ac:dyDescent="0.25">
      <c r="B10" s="1" t="s">
        <v>34</v>
      </c>
      <c r="C10" s="1" t="s">
        <v>35</v>
      </c>
      <c r="E10" s="17" t="s">
        <v>36</v>
      </c>
      <c r="F10" s="1" t="s">
        <v>34</v>
      </c>
      <c r="G10" s="1" t="s">
        <v>37</v>
      </c>
      <c r="H10" s="1" t="s">
        <v>35</v>
      </c>
      <c r="I10" s="1" t="s">
        <v>70</v>
      </c>
      <c r="K10" s="1" t="s">
        <v>37</v>
      </c>
      <c r="L10" s="1" t="s">
        <v>38</v>
      </c>
      <c r="M10" s="1" t="s">
        <v>39</v>
      </c>
    </row>
    <row r="11" spans="1:13" x14ac:dyDescent="0.25">
      <c r="B11" s="10"/>
      <c r="C11" s="11"/>
      <c r="E11" s="16"/>
      <c r="F11" s="10"/>
      <c r="G11" s="10"/>
      <c r="H11" s="20"/>
      <c r="I11" s="23"/>
      <c r="K11" s="21" t="s">
        <v>40</v>
      </c>
      <c r="L11" s="4">
        <f t="shared" ref="L11:L18" si="0">SUMIF($G$11:$G$60,K11,$H$11:$H$60)</f>
        <v>0</v>
      </c>
      <c r="M11" s="13">
        <f t="shared" ref="M11:M18" si="1">IF($L$20=0,0,L11/$L$20)</f>
        <v>0</v>
      </c>
    </row>
    <row r="12" spans="1:13" x14ac:dyDescent="0.25">
      <c r="B12" s="10"/>
      <c r="C12" s="11"/>
      <c r="E12" s="16"/>
      <c r="F12" s="10"/>
      <c r="G12" s="10"/>
      <c r="H12" s="20"/>
      <c r="I12" s="23"/>
      <c r="K12" s="21" t="s">
        <v>41</v>
      </c>
      <c r="L12" s="4">
        <f t="shared" si="0"/>
        <v>0</v>
      </c>
      <c r="M12" s="13">
        <f t="shared" si="1"/>
        <v>0</v>
      </c>
    </row>
    <row r="13" spans="1:13" x14ac:dyDescent="0.25">
      <c r="B13" s="10"/>
      <c r="C13" s="11"/>
      <c r="E13" s="16"/>
      <c r="F13" s="10"/>
      <c r="G13" s="10"/>
      <c r="H13" s="20"/>
      <c r="I13" s="23"/>
      <c r="K13" s="21" t="s">
        <v>42</v>
      </c>
      <c r="L13" s="4">
        <f t="shared" si="0"/>
        <v>0</v>
      </c>
      <c r="M13" s="13">
        <f t="shared" si="1"/>
        <v>0</v>
      </c>
    </row>
    <row r="14" spans="1:13" x14ac:dyDescent="0.25">
      <c r="B14" s="10"/>
      <c r="C14" s="11"/>
      <c r="E14" s="16"/>
      <c r="F14" s="10"/>
      <c r="G14" s="10"/>
      <c r="H14" s="20"/>
      <c r="I14" s="23"/>
      <c r="K14" s="21" t="s">
        <v>43</v>
      </c>
      <c r="L14" s="4">
        <f t="shared" si="0"/>
        <v>0</v>
      </c>
      <c r="M14" s="13">
        <f t="shared" si="1"/>
        <v>0</v>
      </c>
    </row>
    <row r="15" spans="1:13" x14ac:dyDescent="0.25">
      <c r="B15" s="10"/>
      <c r="C15" s="11"/>
      <c r="E15" s="16"/>
      <c r="F15" s="10"/>
      <c r="G15" s="10"/>
      <c r="H15" s="20"/>
      <c r="I15" s="23"/>
      <c r="K15" s="21" t="s">
        <v>44</v>
      </c>
      <c r="L15" s="4">
        <f t="shared" si="0"/>
        <v>0</v>
      </c>
      <c r="M15" s="13">
        <f t="shared" si="1"/>
        <v>0</v>
      </c>
    </row>
    <row r="16" spans="1:13" x14ac:dyDescent="0.25">
      <c r="B16" s="10"/>
      <c r="C16" s="11"/>
      <c r="E16" s="16"/>
      <c r="F16" s="10"/>
      <c r="G16" s="10"/>
      <c r="H16" s="20"/>
      <c r="I16" s="23"/>
      <c r="K16" s="21" t="s">
        <v>45</v>
      </c>
      <c r="L16" s="4">
        <f t="shared" si="0"/>
        <v>0</v>
      </c>
      <c r="M16" s="13">
        <f t="shared" si="1"/>
        <v>0</v>
      </c>
    </row>
    <row r="17" spans="2:13" x14ac:dyDescent="0.25">
      <c r="B17" s="10"/>
      <c r="C17" s="11"/>
      <c r="E17" s="16"/>
      <c r="F17" s="10"/>
      <c r="G17" s="10"/>
      <c r="H17" s="20"/>
      <c r="I17" s="23"/>
      <c r="K17" s="21" t="s">
        <v>46</v>
      </c>
      <c r="L17" s="4">
        <f t="shared" si="0"/>
        <v>0</v>
      </c>
      <c r="M17" s="13">
        <f t="shared" si="1"/>
        <v>0</v>
      </c>
    </row>
    <row r="18" spans="2:13" x14ac:dyDescent="0.25">
      <c r="B18" s="10"/>
      <c r="C18" s="11"/>
      <c r="E18" s="16"/>
      <c r="F18" s="10"/>
      <c r="G18" s="10"/>
      <c r="H18" s="20"/>
      <c r="I18" s="23"/>
      <c r="K18" s="21" t="s">
        <v>47</v>
      </c>
      <c r="L18" s="4">
        <f t="shared" si="0"/>
        <v>0</v>
      </c>
      <c r="M18" s="13">
        <f t="shared" si="1"/>
        <v>0</v>
      </c>
    </row>
    <row r="19" spans="2:13" x14ac:dyDescent="0.25">
      <c r="B19" s="10"/>
      <c r="C19" s="11"/>
      <c r="E19" s="16"/>
      <c r="F19" s="10"/>
      <c r="G19" s="10"/>
      <c r="H19" s="20"/>
      <c r="I19" s="23"/>
      <c r="K19" s="21" t="s">
        <v>48</v>
      </c>
      <c r="L19" s="3">
        <f>IFERROR('Janeiro-Cartão'!D4,0)</f>
        <v>0</v>
      </c>
      <c r="M19" s="13">
        <f>IF($L$20=0,0,L19/$L$20)</f>
        <v>0</v>
      </c>
    </row>
    <row r="20" spans="2:13" x14ac:dyDescent="0.25">
      <c r="B20" s="10"/>
      <c r="C20" s="11"/>
      <c r="E20" s="16"/>
      <c r="F20" s="10"/>
      <c r="G20" s="10"/>
      <c r="H20" s="20"/>
      <c r="I20" s="23"/>
      <c r="K20" s="22" t="s">
        <v>38</v>
      </c>
      <c r="L20" s="6">
        <f>SUM(L11:L19)</f>
        <v>0</v>
      </c>
      <c r="M20" s="14">
        <f>IF(L20=0,0,L20/L20)</f>
        <v>0</v>
      </c>
    </row>
    <row r="21" spans="2:13" x14ac:dyDescent="0.25">
      <c r="B21" s="5" t="s">
        <v>38</v>
      </c>
      <c r="C21" s="6">
        <f>SUM(C11:C20)</f>
        <v>0</v>
      </c>
      <c r="E21" s="16"/>
      <c r="F21" s="10"/>
      <c r="G21" s="10"/>
      <c r="H21" s="20"/>
      <c r="I21" s="23"/>
    </row>
    <row r="22" spans="2:13" x14ac:dyDescent="0.25">
      <c r="E22" s="16"/>
      <c r="F22" s="10"/>
      <c r="G22" s="10"/>
      <c r="H22" s="20"/>
      <c r="I22" s="23"/>
      <c r="K22" s="44" t="s">
        <v>49</v>
      </c>
      <c r="L22" s="44"/>
      <c r="M22" s="44"/>
    </row>
    <row r="23" spans="2:13" x14ac:dyDescent="0.25">
      <c r="E23" s="16"/>
      <c r="F23" s="10"/>
      <c r="G23" s="10"/>
      <c r="H23" s="20"/>
      <c r="I23" s="23"/>
      <c r="K23" s="44"/>
      <c r="L23" s="44"/>
      <c r="M23" s="44"/>
    </row>
    <row r="24" spans="2:13" x14ac:dyDescent="0.25">
      <c r="E24" s="16"/>
      <c r="F24" s="10"/>
      <c r="G24" s="10"/>
      <c r="H24" s="20"/>
      <c r="I24" s="23"/>
    </row>
    <row r="25" spans="2:13" x14ac:dyDescent="0.25">
      <c r="E25" s="16"/>
      <c r="F25" s="10"/>
      <c r="G25" s="10"/>
      <c r="H25" s="20"/>
      <c r="I25" s="23"/>
    </row>
    <row r="26" spans="2:13" x14ac:dyDescent="0.25">
      <c r="E26" s="16"/>
      <c r="F26" s="10"/>
      <c r="G26" s="10"/>
      <c r="H26" s="20"/>
      <c r="I26" s="23"/>
    </row>
    <row r="27" spans="2:13" x14ac:dyDescent="0.25">
      <c r="E27" s="16"/>
      <c r="F27" s="10"/>
      <c r="G27" s="10"/>
      <c r="H27" s="20"/>
      <c r="I27" s="23"/>
    </row>
    <row r="28" spans="2:13" x14ac:dyDescent="0.25">
      <c r="E28" s="16"/>
      <c r="F28" s="10"/>
      <c r="G28" s="10"/>
      <c r="H28" s="20"/>
      <c r="I28" s="23"/>
    </row>
    <row r="29" spans="2:13" x14ac:dyDescent="0.25">
      <c r="E29" s="16"/>
      <c r="F29" s="10"/>
      <c r="G29" s="10"/>
      <c r="H29" s="20"/>
      <c r="I29" s="23"/>
    </row>
    <row r="30" spans="2:13" x14ac:dyDescent="0.25">
      <c r="E30" s="16"/>
      <c r="F30" s="10"/>
      <c r="G30" s="10"/>
      <c r="H30" s="20"/>
      <c r="I30" s="23"/>
    </row>
    <row r="31" spans="2:13" x14ac:dyDescent="0.25">
      <c r="E31" s="16"/>
      <c r="F31" s="10"/>
      <c r="G31" s="10"/>
      <c r="H31" s="20"/>
      <c r="I31" s="23"/>
    </row>
    <row r="32" spans="2:13" x14ac:dyDescent="0.25">
      <c r="E32" s="16"/>
      <c r="F32" s="10"/>
      <c r="G32" s="10"/>
      <c r="H32" s="20"/>
      <c r="I32" s="23"/>
    </row>
    <row r="33" spans="5:9" x14ac:dyDescent="0.25">
      <c r="E33" s="16"/>
      <c r="F33" s="10"/>
      <c r="G33" s="10"/>
      <c r="H33" s="20"/>
      <c r="I33" s="23"/>
    </row>
    <row r="34" spans="5:9" x14ac:dyDescent="0.25">
      <c r="E34" s="16"/>
      <c r="F34" s="10"/>
      <c r="G34" s="10"/>
      <c r="H34" s="20"/>
      <c r="I34" s="23"/>
    </row>
    <row r="35" spans="5:9" x14ac:dyDescent="0.25">
      <c r="E35" s="16"/>
      <c r="F35" s="10"/>
      <c r="G35" s="10"/>
      <c r="H35" s="20"/>
      <c r="I35" s="23"/>
    </row>
    <row r="36" spans="5:9" x14ac:dyDescent="0.25">
      <c r="E36" s="16"/>
      <c r="F36" s="10"/>
      <c r="G36" s="10"/>
      <c r="H36" s="20"/>
      <c r="I36" s="23"/>
    </row>
    <row r="37" spans="5:9" x14ac:dyDescent="0.25">
      <c r="E37" s="16"/>
      <c r="F37" s="10"/>
      <c r="G37" s="10"/>
      <c r="H37" s="20"/>
      <c r="I37" s="23"/>
    </row>
    <row r="38" spans="5:9" x14ac:dyDescent="0.25">
      <c r="E38" s="16"/>
      <c r="F38" s="10"/>
      <c r="G38" s="10"/>
      <c r="H38" s="20"/>
      <c r="I38" s="23"/>
    </row>
    <row r="39" spans="5:9" x14ac:dyDescent="0.25">
      <c r="E39" s="16"/>
      <c r="F39" s="10"/>
      <c r="G39" s="10"/>
      <c r="H39" s="20"/>
      <c r="I39" s="23"/>
    </row>
    <row r="40" spans="5:9" x14ac:dyDescent="0.25">
      <c r="E40" s="16"/>
      <c r="F40" s="10"/>
      <c r="G40" s="10"/>
      <c r="H40" s="20"/>
      <c r="I40" s="23"/>
    </row>
    <row r="41" spans="5:9" x14ac:dyDescent="0.25">
      <c r="E41" s="16"/>
      <c r="F41" s="10"/>
      <c r="G41" s="10"/>
      <c r="H41" s="20"/>
      <c r="I41" s="23"/>
    </row>
    <row r="42" spans="5:9" x14ac:dyDescent="0.25">
      <c r="E42" s="16"/>
      <c r="F42" s="10"/>
      <c r="G42" s="10"/>
      <c r="H42" s="20"/>
      <c r="I42" s="23"/>
    </row>
    <row r="43" spans="5:9" x14ac:dyDescent="0.25">
      <c r="E43" s="16"/>
      <c r="F43" s="10"/>
      <c r="G43" s="10"/>
      <c r="H43" s="20"/>
      <c r="I43" s="23"/>
    </row>
    <row r="44" spans="5:9" x14ac:dyDescent="0.25">
      <c r="E44" s="16"/>
      <c r="F44" s="10"/>
      <c r="G44" s="10"/>
      <c r="H44" s="20"/>
      <c r="I44" s="23"/>
    </row>
    <row r="45" spans="5:9" x14ac:dyDescent="0.25">
      <c r="E45" s="16"/>
      <c r="F45" s="10"/>
      <c r="G45" s="10"/>
      <c r="H45" s="20"/>
      <c r="I45" s="23"/>
    </row>
    <row r="46" spans="5:9" x14ac:dyDescent="0.25">
      <c r="E46" s="16"/>
      <c r="F46" s="10"/>
      <c r="G46" s="10"/>
      <c r="H46" s="20"/>
      <c r="I46" s="23"/>
    </row>
    <row r="47" spans="5:9" x14ac:dyDescent="0.25">
      <c r="E47" s="16"/>
      <c r="F47" s="10"/>
      <c r="G47" s="10"/>
      <c r="H47" s="20"/>
      <c r="I47" s="23"/>
    </row>
    <row r="48" spans="5:9" x14ac:dyDescent="0.25">
      <c r="E48" s="16"/>
      <c r="F48" s="10"/>
      <c r="G48" s="10"/>
      <c r="H48" s="20"/>
      <c r="I48" s="23"/>
    </row>
    <row r="49" spans="5:10" x14ac:dyDescent="0.25">
      <c r="E49" s="16"/>
      <c r="F49" s="10"/>
      <c r="G49" s="10"/>
      <c r="H49" s="20"/>
      <c r="I49" s="23"/>
    </row>
    <row r="50" spans="5:10" x14ac:dyDescent="0.25">
      <c r="E50" s="16"/>
      <c r="F50" s="10"/>
      <c r="G50" s="10"/>
      <c r="H50" s="20"/>
      <c r="I50" s="23"/>
    </row>
    <row r="51" spans="5:10" x14ac:dyDescent="0.25">
      <c r="E51" s="16"/>
      <c r="F51" s="10"/>
      <c r="G51" s="10"/>
      <c r="H51" s="20"/>
      <c r="I51" s="23"/>
    </row>
    <row r="52" spans="5:10" x14ac:dyDescent="0.25">
      <c r="E52" s="16"/>
      <c r="F52" s="10"/>
      <c r="G52" s="10"/>
      <c r="H52" s="20"/>
      <c r="I52" s="23"/>
      <c r="J52" s="24"/>
    </row>
    <row r="53" spans="5:10" x14ac:dyDescent="0.25">
      <c r="E53" s="16"/>
      <c r="F53" s="10"/>
      <c r="G53" s="10"/>
      <c r="H53" s="20"/>
      <c r="I53" s="23"/>
      <c r="J53" s="24"/>
    </row>
    <row r="54" spans="5:10" x14ac:dyDescent="0.25">
      <c r="E54" s="16"/>
      <c r="F54" s="10"/>
      <c r="G54" s="10"/>
      <c r="H54" s="20"/>
      <c r="I54" s="23"/>
      <c r="J54" s="24"/>
    </row>
    <row r="55" spans="5:10" x14ac:dyDescent="0.25">
      <c r="E55" s="16"/>
      <c r="F55" s="10"/>
      <c r="G55" s="10"/>
      <c r="H55" s="20"/>
      <c r="I55" s="23"/>
      <c r="J55" s="24"/>
    </row>
    <row r="56" spans="5:10" x14ac:dyDescent="0.25">
      <c r="E56" s="16"/>
      <c r="F56" s="10"/>
      <c r="G56" s="10"/>
      <c r="H56" s="20"/>
      <c r="I56" s="23"/>
      <c r="J56" s="24"/>
    </row>
    <row r="57" spans="5:10" x14ac:dyDescent="0.25">
      <c r="E57" s="16"/>
      <c r="F57" s="10"/>
      <c r="G57" s="10"/>
      <c r="H57" s="20"/>
      <c r="I57" s="23"/>
      <c r="J57" s="24"/>
    </row>
    <row r="58" spans="5:10" x14ac:dyDescent="0.25">
      <c r="E58" s="16"/>
      <c r="F58" s="10"/>
      <c r="G58" s="10"/>
      <c r="H58" s="20"/>
      <c r="I58" s="23"/>
      <c r="J58" s="24"/>
    </row>
    <row r="59" spans="5:10" x14ac:dyDescent="0.25">
      <c r="E59" s="16"/>
      <c r="F59" s="10"/>
      <c r="G59" s="10"/>
      <c r="H59" s="20"/>
      <c r="I59" s="23"/>
      <c r="J59" s="24"/>
    </row>
    <row r="60" spans="5:10" x14ac:dyDescent="0.25">
      <c r="E60" s="16"/>
      <c r="F60" s="10"/>
      <c r="G60" s="10"/>
      <c r="H60" s="20"/>
      <c r="I60" s="23"/>
      <c r="J60" s="24"/>
    </row>
    <row r="61" spans="5:10" x14ac:dyDescent="0.25">
      <c r="E61" s="19" t="s">
        <v>50</v>
      </c>
      <c r="F61" s="5"/>
      <c r="G61" s="5"/>
      <c r="H61" s="6">
        <f>SUM(H11:H60)</f>
        <v>0</v>
      </c>
    </row>
  </sheetData>
  <mergeCells count="5">
    <mergeCell ref="B1:M1"/>
    <mergeCell ref="B9:C9"/>
    <mergeCell ref="E9:I9"/>
    <mergeCell ref="K9:M9"/>
    <mergeCell ref="K22:M23"/>
  </mergeCells>
  <conditionalFormatting sqref="I11:I51 I52:J60">
    <cfRule type="cellIs" dxfId="25" priority="1" operator="equal">
      <formula>"Pago"</formula>
    </cfRule>
    <cfRule type="cellIs" dxfId="24" priority="2" operator="equal">
      <formula>"Não pago"</formula>
    </cfRule>
  </conditionalFormatting>
  <dataValidations count="2">
    <dataValidation type="list" allowBlank="1" showInputMessage="1" showErrorMessage="1" sqref="J52:J60 I11:I60" xr:uid="{85ED4FFB-57CB-45EE-B24C-7AF990FFD03B}">
      <formula1>"Pago,Não pago"</formula1>
    </dataValidation>
    <dataValidation type="list" allowBlank="1" error="Escolha uma categoria da lista" sqref="G11:G60" xr:uid="{1FC9A13E-0E94-4AAD-8F74-D63A87E00B85}">
      <formula1>$K$11:$K$18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07E039-529C-4264-8D2C-92FB961CF6B0}">
          <x14:formula1>
            <xm:f>Resumo!$B$6:$B$17</xm:f>
          </x14:formula1>
          <xm:sqref>C2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F8BA-7767-4E5D-A42A-19F93D07190B}">
  <sheetPr>
    <tabColor theme="3"/>
  </sheetPr>
  <dimension ref="B1:K110"/>
  <sheetViews>
    <sheetView showGridLines="0" zoomScaleNormal="100" workbookViewId="0">
      <selection activeCell="L26" sqref="L26"/>
    </sheetView>
  </sheetViews>
  <sheetFormatPr defaultColWidth="8.7109375" defaultRowHeight="15" x14ac:dyDescent="0.25"/>
  <cols>
    <col min="1" max="1" width="2" customWidth="1"/>
    <col min="2" max="2" width="15.5703125" customWidth="1"/>
    <col min="3" max="3" width="15" bestFit="1" customWidth="1"/>
    <col min="4" max="4" width="30" customWidth="1"/>
    <col min="5" max="5" width="9" customWidth="1"/>
    <col min="6" max="6" width="24" customWidth="1"/>
    <col min="7" max="7" width="12" customWidth="1"/>
    <col min="8" max="8" width="2" customWidth="1"/>
    <col min="9" max="9" width="24" customWidth="1"/>
    <col min="10" max="10" width="13" customWidth="1"/>
    <col min="11" max="11" width="8" customWidth="1"/>
  </cols>
  <sheetData>
    <row r="1" spans="2:11" ht="24" customHeight="1" x14ac:dyDescent="0.25">
      <c r="B1" s="45" t="s">
        <v>51</v>
      </c>
      <c r="C1" s="45"/>
      <c r="D1" s="45"/>
      <c r="E1" s="45"/>
      <c r="F1" s="45"/>
      <c r="G1" s="45"/>
      <c r="H1" s="45"/>
      <c r="I1" s="45"/>
      <c r="J1" s="45"/>
      <c r="K1" s="45"/>
    </row>
    <row r="2" spans="2:11" x14ac:dyDescent="0.25">
      <c r="C2" s="7" t="s">
        <v>26</v>
      </c>
      <c r="D2" s="9" t="s">
        <v>7</v>
      </c>
      <c r="E2" s="8" t="s">
        <v>52</v>
      </c>
    </row>
    <row r="3" spans="2:11" x14ac:dyDescent="0.25">
      <c r="I3" s="5" t="s">
        <v>145</v>
      </c>
      <c r="J3" s="6">
        <f>SUMIFS(G:G,B:B,I3)</f>
        <v>0</v>
      </c>
    </row>
    <row r="4" spans="2:11" x14ac:dyDescent="0.25">
      <c r="C4" s="5" t="s">
        <v>53</v>
      </c>
      <c r="D4" s="6">
        <f>G110</f>
        <v>0</v>
      </c>
      <c r="I4" s="5" t="s">
        <v>146</v>
      </c>
      <c r="J4" s="6">
        <f>SUMIFS(G:G,B:B,I4)</f>
        <v>0</v>
      </c>
    </row>
    <row r="5" spans="2:11" x14ac:dyDescent="0.25">
      <c r="I5" s="5" t="s">
        <v>147</v>
      </c>
      <c r="J5" s="6">
        <f>SUMIFS(G:G,B:B,I5)</f>
        <v>0</v>
      </c>
    </row>
    <row r="6" spans="2:11" x14ac:dyDescent="0.25">
      <c r="I6" s="43" t="s">
        <v>148</v>
      </c>
      <c r="J6" s="6">
        <f>SUM(J3:J5)</f>
        <v>0</v>
      </c>
    </row>
    <row r="8" spans="2:11" ht="16.5" x14ac:dyDescent="0.25">
      <c r="B8" s="45" t="s">
        <v>54</v>
      </c>
      <c r="C8" s="45"/>
      <c r="D8" s="45"/>
      <c r="E8" s="45"/>
      <c r="F8" s="45"/>
      <c r="G8" s="45"/>
      <c r="I8" s="45" t="s">
        <v>55</v>
      </c>
      <c r="J8" s="45"/>
      <c r="K8" s="45"/>
    </row>
    <row r="9" spans="2:11" x14ac:dyDescent="0.25">
      <c r="B9" s="1" t="s">
        <v>144</v>
      </c>
      <c r="C9" s="1" t="s">
        <v>36</v>
      </c>
      <c r="D9" s="1" t="s">
        <v>34</v>
      </c>
      <c r="E9" s="1" t="s">
        <v>56</v>
      </c>
      <c r="F9" s="1" t="s">
        <v>37</v>
      </c>
      <c r="G9" s="1" t="s">
        <v>35</v>
      </c>
      <c r="I9" s="1" t="s">
        <v>37</v>
      </c>
      <c r="J9" s="1" t="s">
        <v>38</v>
      </c>
      <c r="K9" s="1" t="s">
        <v>39</v>
      </c>
    </row>
    <row r="10" spans="2:11" x14ac:dyDescent="0.25">
      <c r="B10" s="16"/>
      <c r="C10" s="16"/>
      <c r="D10" s="31"/>
      <c r="E10" s="32"/>
      <c r="F10" s="31"/>
      <c r="G10" s="33"/>
      <c r="I10" s="40" t="s">
        <v>42</v>
      </c>
      <c r="J10" s="41">
        <f t="shared" ref="J10:J20" si="0">SUMIF($F$10:$F$109,I10,$G$10:$G$109)</f>
        <v>0</v>
      </c>
      <c r="K10" s="42">
        <f t="shared" ref="K10:K20" si="1">IF($J$21=0,0,J10/$J$21)</f>
        <v>0</v>
      </c>
    </row>
    <row r="11" spans="2:11" x14ac:dyDescent="0.25">
      <c r="B11" s="16"/>
      <c r="C11" s="16"/>
      <c r="D11" s="31"/>
      <c r="E11" s="32"/>
      <c r="F11" s="31"/>
      <c r="G11" s="33"/>
      <c r="I11" s="40" t="s">
        <v>57</v>
      </c>
      <c r="J11" s="41">
        <f t="shared" si="0"/>
        <v>0</v>
      </c>
      <c r="K11" s="42">
        <f t="shared" si="1"/>
        <v>0</v>
      </c>
    </row>
    <row r="12" spans="2:11" x14ac:dyDescent="0.25">
      <c r="B12" s="16"/>
      <c r="C12" s="16"/>
      <c r="D12" s="31"/>
      <c r="E12" s="32"/>
      <c r="F12" s="31"/>
      <c r="G12" s="33"/>
      <c r="I12" s="40" t="s">
        <v>58</v>
      </c>
      <c r="J12" s="41">
        <f t="shared" si="0"/>
        <v>0</v>
      </c>
      <c r="K12" s="42">
        <f t="shared" si="1"/>
        <v>0</v>
      </c>
    </row>
    <row r="13" spans="2:11" x14ac:dyDescent="0.25">
      <c r="B13" s="16"/>
      <c r="C13" s="16"/>
      <c r="D13" s="31"/>
      <c r="E13" s="32"/>
      <c r="F13" s="31"/>
      <c r="G13" s="33"/>
      <c r="I13" s="40" t="s">
        <v>59</v>
      </c>
      <c r="J13" s="41">
        <f t="shared" si="0"/>
        <v>0</v>
      </c>
      <c r="K13" s="42">
        <f t="shared" si="1"/>
        <v>0</v>
      </c>
    </row>
    <row r="14" spans="2:11" x14ac:dyDescent="0.25">
      <c r="B14" s="29"/>
      <c r="C14" s="29"/>
      <c r="D14" s="34"/>
      <c r="E14" s="35"/>
      <c r="F14" s="34"/>
      <c r="G14" s="36"/>
      <c r="I14" s="40" t="s">
        <v>60</v>
      </c>
      <c r="J14" s="41">
        <f t="shared" si="0"/>
        <v>0</v>
      </c>
      <c r="K14" s="42">
        <f t="shared" si="1"/>
        <v>0</v>
      </c>
    </row>
    <row r="15" spans="2:11" x14ac:dyDescent="0.25">
      <c r="B15" s="30"/>
      <c r="C15" s="30"/>
      <c r="D15" s="37"/>
      <c r="E15" s="38"/>
      <c r="F15" s="37"/>
      <c r="G15" s="39"/>
      <c r="I15" s="40" t="s">
        <v>61</v>
      </c>
      <c r="J15" s="41">
        <f t="shared" si="0"/>
        <v>0</v>
      </c>
      <c r="K15" s="42">
        <f t="shared" si="1"/>
        <v>0</v>
      </c>
    </row>
    <row r="16" spans="2:11" x14ac:dyDescent="0.25">
      <c r="B16" s="30"/>
      <c r="C16" s="30"/>
      <c r="D16" s="37"/>
      <c r="E16" s="38"/>
      <c r="F16" s="37"/>
      <c r="G16" s="39"/>
      <c r="I16" s="40" t="s">
        <v>62</v>
      </c>
      <c r="J16" s="41">
        <f t="shared" si="0"/>
        <v>0</v>
      </c>
      <c r="K16" s="42">
        <f t="shared" si="1"/>
        <v>0</v>
      </c>
    </row>
    <row r="17" spans="2:11" x14ac:dyDescent="0.25">
      <c r="B17" s="30"/>
      <c r="C17" s="30"/>
      <c r="D17" s="37"/>
      <c r="E17" s="38"/>
      <c r="F17" s="37"/>
      <c r="G17" s="39"/>
      <c r="I17" s="40" t="s">
        <v>46</v>
      </c>
      <c r="J17" s="41">
        <f t="shared" si="0"/>
        <v>0</v>
      </c>
      <c r="K17" s="42">
        <f t="shared" si="1"/>
        <v>0</v>
      </c>
    </row>
    <row r="18" spans="2:11" x14ac:dyDescent="0.25">
      <c r="B18" s="30"/>
      <c r="C18" s="30"/>
      <c r="D18" s="37"/>
      <c r="E18" s="38"/>
      <c r="F18" s="37"/>
      <c r="G18" s="39"/>
      <c r="I18" s="40" t="s">
        <v>63</v>
      </c>
      <c r="J18" s="41">
        <f t="shared" si="0"/>
        <v>0</v>
      </c>
      <c r="K18" s="42">
        <f t="shared" si="1"/>
        <v>0</v>
      </c>
    </row>
    <row r="19" spans="2:11" x14ac:dyDescent="0.25">
      <c r="B19" s="30"/>
      <c r="C19" s="30"/>
      <c r="D19" s="37"/>
      <c r="E19" s="38"/>
      <c r="F19" s="37"/>
      <c r="G19" s="39"/>
      <c r="I19" s="40" t="s">
        <v>45</v>
      </c>
      <c r="J19" s="41">
        <f t="shared" si="0"/>
        <v>0</v>
      </c>
      <c r="K19" s="42">
        <f t="shared" si="1"/>
        <v>0</v>
      </c>
    </row>
    <row r="20" spans="2:11" x14ac:dyDescent="0.25">
      <c r="B20" s="30"/>
      <c r="C20" s="30"/>
      <c r="D20" s="37"/>
      <c r="E20" s="38"/>
      <c r="F20" s="37"/>
      <c r="G20" s="39"/>
      <c r="I20" s="40" t="s">
        <v>47</v>
      </c>
      <c r="J20" s="41">
        <f t="shared" si="0"/>
        <v>0</v>
      </c>
      <c r="K20" s="42">
        <f t="shared" si="1"/>
        <v>0</v>
      </c>
    </row>
    <row r="21" spans="2:11" x14ac:dyDescent="0.25">
      <c r="B21" s="30"/>
      <c r="C21" s="30"/>
      <c r="D21" s="37"/>
      <c r="E21" s="38"/>
      <c r="F21" s="37"/>
      <c r="G21" s="39"/>
      <c r="I21" s="5" t="s">
        <v>38</v>
      </c>
      <c r="J21" s="6">
        <f>SUM(J10:J20)</f>
        <v>0</v>
      </c>
      <c r="K21" s="14">
        <f>IF(J21=0,0,J21/J21)</f>
        <v>0</v>
      </c>
    </row>
    <row r="22" spans="2:11" x14ac:dyDescent="0.25">
      <c r="B22" s="30"/>
      <c r="C22" s="30"/>
      <c r="D22" s="37"/>
      <c r="E22" s="38"/>
      <c r="F22" s="37"/>
      <c r="G22" s="39"/>
    </row>
    <row r="23" spans="2:11" x14ac:dyDescent="0.25">
      <c r="B23" s="30"/>
      <c r="C23" s="30"/>
      <c r="D23" s="37"/>
      <c r="E23" s="38"/>
      <c r="F23" s="37"/>
      <c r="G23" s="39"/>
    </row>
    <row r="24" spans="2:11" x14ac:dyDescent="0.25">
      <c r="B24" s="30"/>
      <c r="C24" s="30"/>
      <c r="D24" s="37"/>
      <c r="E24" s="38"/>
      <c r="F24" s="37"/>
      <c r="G24" s="39"/>
    </row>
    <row r="25" spans="2:11" x14ac:dyDescent="0.25">
      <c r="B25" s="30"/>
      <c r="C25" s="30"/>
      <c r="D25" s="37"/>
      <c r="E25" s="38"/>
      <c r="F25" s="37"/>
      <c r="G25" s="39"/>
    </row>
    <row r="26" spans="2:11" x14ac:dyDescent="0.25">
      <c r="B26" s="30"/>
      <c r="C26" s="30"/>
      <c r="D26" s="37"/>
      <c r="E26" s="38"/>
      <c r="F26" s="37"/>
      <c r="G26" s="39"/>
    </row>
    <row r="27" spans="2:11" x14ac:dyDescent="0.25">
      <c r="B27" s="30"/>
      <c r="C27" s="30"/>
      <c r="D27" s="37"/>
      <c r="E27" s="38"/>
      <c r="F27" s="37"/>
      <c r="G27" s="39"/>
    </row>
    <row r="28" spans="2:11" x14ac:dyDescent="0.25">
      <c r="B28" s="30"/>
      <c r="C28" s="30"/>
      <c r="D28" s="37"/>
      <c r="E28" s="38"/>
      <c r="F28" s="37"/>
      <c r="G28" s="39"/>
    </row>
    <row r="29" spans="2:11" x14ac:dyDescent="0.25">
      <c r="B29" s="30"/>
      <c r="C29" s="30"/>
      <c r="D29" s="37"/>
      <c r="E29" s="38"/>
      <c r="F29" s="37"/>
      <c r="G29" s="39"/>
    </row>
    <row r="30" spans="2:11" x14ac:dyDescent="0.25">
      <c r="B30" s="30"/>
      <c r="C30" s="30"/>
      <c r="D30" s="37"/>
      <c r="E30" s="38"/>
      <c r="F30" s="37"/>
      <c r="G30" s="39"/>
    </row>
    <row r="31" spans="2:11" x14ac:dyDescent="0.25">
      <c r="B31" s="30"/>
      <c r="C31" s="30"/>
      <c r="D31" s="37"/>
      <c r="E31" s="38"/>
      <c r="F31" s="37"/>
      <c r="G31" s="39"/>
    </row>
    <row r="32" spans="2:11" x14ac:dyDescent="0.25">
      <c r="B32" s="30"/>
      <c r="C32" s="30"/>
      <c r="D32" s="37"/>
      <c r="E32" s="38"/>
      <c r="F32" s="37"/>
      <c r="G32" s="39"/>
    </row>
    <row r="33" spans="2:7" x14ac:dyDescent="0.25">
      <c r="B33" s="30"/>
      <c r="C33" s="30"/>
      <c r="D33" s="37"/>
      <c r="E33" s="38"/>
      <c r="F33" s="37"/>
      <c r="G33" s="39"/>
    </row>
    <row r="34" spans="2:7" x14ac:dyDescent="0.25">
      <c r="B34" s="30"/>
      <c r="C34" s="30"/>
      <c r="D34" s="37"/>
      <c r="E34" s="38"/>
      <c r="F34" s="37"/>
      <c r="G34" s="39"/>
    </row>
    <row r="35" spans="2:7" x14ac:dyDescent="0.25">
      <c r="B35" s="30"/>
      <c r="C35" s="30"/>
      <c r="D35" s="37"/>
      <c r="E35" s="38"/>
      <c r="F35" s="37"/>
      <c r="G35" s="39"/>
    </row>
    <row r="36" spans="2:7" x14ac:dyDescent="0.25">
      <c r="B36" s="30"/>
      <c r="C36" s="30"/>
      <c r="D36" s="37"/>
      <c r="E36" s="38"/>
      <c r="F36" s="37"/>
      <c r="G36" s="39"/>
    </row>
    <row r="37" spans="2:7" x14ac:dyDescent="0.25">
      <c r="B37" s="30"/>
      <c r="C37" s="30"/>
      <c r="D37" s="37"/>
      <c r="E37" s="38"/>
      <c r="F37" s="37"/>
      <c r="G37" s="39"/>
    </row>
    <row r="38" spans="2:7" x14ac:dyDescent="0.25">
      <c r="B38" s="30"/>
      <c r="C38" s="30"/>
      <c r="D38" s="37"/>
      <c r="E38" s="38"/>
      <c r="F38" s="37"/>
      <c r="G38" s="39"/>
    </row>
    <row r="39" spans="2:7" x14ac:dyDescent="0.25">
      <c r="B39" s="30"/>
      <c r="C39" s="30"/>
      <c r="D39" s="37"/>
      <c r="E39" s="38"/>
      <c r="F39" s="37"/>
      <c r="G39" s="39"/>
    </row>
    <row r="40" spans="2:7" x14ac:dyDescent="0.25">
      <c r="B40" s="30"/>
      <c r="C40" s="30"/>
      <c r="D40" s="37"/>
      <c r="E40" s="38"/>
      <c r="F40" s="37"/>
      <c r="G40" s="39"/>
    </row>
    <row r="41" spans="2:7" x14ac:dyDescent="0.25">
      <c r="B41" s="30"/>
      <c r="C41" s="30"/>
      <c r="D41" s="37"/>
      <c r="E41" s="38"/>
      <c r="F41" s="37"/>
      <c r="G41" s="39"/>
    </row>
    <row r="42" spans="2:7" x14ac:dyDescent="0.25">
      <c r="B42" s="30"/>
      <c r="C42" s="30"/>
      <c r="D42" s="37"/>
      <c r="E42" s="38"/>
      <c r="F42" s="37"/>
      <c r="G42" s="39"/>
    </row>
    <row r="43" spans="2:7" x14ac:dyDescent="0.25">
      <c r="B43" s="30"/>
      <c r="C43" s="30"/>
      <c r="D43" s="37"/>
      <c r="E43" s="38"/>
      <c r="F43" s="37"/>
      <c r="G43" s="39"/>
    </row>
    <row r="44" spans="2:7" x14ac:dyDescent="0.25">
      <c r="B44" s="30"/>
      <c r="C44" s="30"/>
      <c r="D44" s="37"/>
      <c r="E44" s="38"/>
      <c r="F44" s="37"/>
      <c r="G44" s="39"/>
    </row>
    <row r="45" spans="2:7" x14ac:dyDescent="0.25">
      <c r="B45" s="30"/>
      <c r="C45" s="30"/>
      <c r="D45" s="37"/>
      <c r="E45" s="38"/>
      <c r="F45" s="37"/>
      <c r="G45" s="39"/>
    </row>
    <row r="46" spans="2:7" x14ac:dyDescent="0.25">
      <c r="B46" s="30"/>
      <c r="C46" s="30"/>
      <c r="D46" s="37"/>
      <c r="E46" s="38"/>
      <c r="F46" s="37"/>
      <c r="G46" s="39"/>
    </row>
    <row r="47" spans="2:7" x14ac:dyDescent="0.25">
      <c r="B47" s="30"/>
      <c r="C47" s="30"/>
      <c r="D47" s="37"/>
      <c r="E47" s="38"/>
      <c r="F47" s="37"/>
      <c r="G47" s="39"/>
    </row>
    <row r="48" spans="2:7" x14ac:dyDescent="0.25">
      <c r="B48" s="30"/>
      <c r="C48" s="30"/>
      <c r="D48" s="37"/>
      <c r="E48" s="38"/>
      <c r="F48" s="37"/>
      <c r="G48" s="39"/>
    </row>
    <row r="49" spans="2:7" x14ac:dyDescent="0.25">
      <c r="B49" s="30"/>
      <c r="C49" s="30"/>
      <c r="D49" s="37"/>
      <c r="E49" s="38"/>
      <c r="F49" s="37"/>
      <c r="G49" s="39"/>
    </row>
    <row r="50" spans="2:7" x14ac:dyDescent="0.25">
      <c r="B50" s="30"/>
      <c r="C50" s="30"/>
      <c r="D50" s="37"/>
      <c r="E50" s="38"/>
      <c r="F50" s="37"/>
      <c r="G50" s="39"/>
    </row>
    <row r="51" spans="2:7" x14ac:dyDescent="0.25">
      <c r="B51" s="30"/>
      <c r="C51" s="30"/>
      <c r="D51" s="37"/>
      <c r="E51" s="38"/>
      <c r="F51" s="37"/>
      <c r="G51" s="39"/>
    </row>
    <row r="52" spans="2:7" x14ac:dyDescent="0.25">
      <c r="B52" s="30"/>
      <c r="C52" s="30"/>
      <c r="D52" s="37"/>
      <c r="E52" s="38"/>
      <c r="F52" s="37"/>
      <c r="G52" s="39"/>
    </row>
    <row r="53" spans="2:7" x14ac:dyDescent="0.25">
      <c r="B53" s="30"/>
      <c r="C53" s="30"/>
      <c r="D53" s="37"/>
      <c r="E53" s="38"/>
      <c r="F53" s="37"/>
      <c r="G53" s="39"/>
    </row>
    <row r="54" spans="2:7" x14ac:dyDescent="0.25">
      <c r="B54" s="30"/>
      <c r="C54" s="30"/>
      <c r="D54" s="37"/>
      <c r="E54" s="38"/>
      <c r="F54" s="37"/>
      <c r="G54" s="39"/>
    </row>
    <row r="55" spans="2:7" x14ac:dyDescent="0.25">
      <c r="B55" s="30"/>
      <c r="C55" s="30"/>
      <c r="D55" s="37"/>
      <c r="E55" s="38"/>
      <c r="F55" s="37"/>
      <c r="G55" s="39"/>
    </row>
    <row r="56" spans="2:7" x14ac:dyDescent="0.25">
      <c r="B56" s="30"/>
      <c r="C56" s="30"/>
      <c r="D56" s="37"/>
      <c r="E56" s="38"/>
      <c r="F56" s="37"/>
      <c r="G56" s="39"/>
    </row>
    <row r="57" spans="2:7" x14ac:dyDescent="0.25">
      <c r="B57" s="30"/>
      <c r="C57" s="30"/>
      <c r="D57" s="37"/>
      <c r="E57" s="38"/>
      <c r="F57" s="37"/>
      <c r="G57" s="39"/>
    </row>
    <row r="58" spans="2:7" x14ac:dyDescent="0.25">
      <c r="B58" s="30"/>
      <c r="C58" s="30"/>
      <c r="D58" s="37"/>
      <c r="E58" s="38"/>
      <c r="F58" s="37"/>
      <c r="G58" s="39"/>
    </row>
    <row r="59" spans="2:7" x14ac:dyDescent="0.25">
      <c r="B59" s="30"/>
      <c r="C59" s="30"/>
      <c r="D59" s="37"/>
      <c r="E59" s="38"/>
      <c r="F59" s="37"/>
      <c r="G59" s="39"/>
    </row>
    <row r="60" spans="2:7" x14ac:dyDescent="0.25">
      <c r="B60" s="30"/>
      <c r="C60" s="30"/>
      <c r="D60" s="37"/>
      <c r="E60" s="38"/>
      <c r="F60" s="37"/>
      <c r="G60" s="39"/>
    </row>
    <row r="61" spans="2:7" x14ac:dyDescent="0.25">
      <c r="B61" s="30"/>
      <c r="C61" s="30"/>
      <c r="D61" s="37"/>
      <c r="E61" s="38"/>
      <c r="F61" s="37"/>
      <c r="G61" s="39"/>
    </row>
    <row r="62" spans="2:7" x14ac:dyDescent="0.25">
      <c r="B62" s="30"/>
      <c r="C62" s="30"/>
      <c r="D62" s="37"/>
      <c r="E62" s="38"/>
      <c r="F62" s="37"/>
      <c r="G62" s="39"/>
    </row>
    <row r="63" spans="2:7" x14ac:dyDescent="0.25">
      <c r="B63" s="30"/>
      <c r="C63" s="30"/>
      <c r="D63" s="37"/>
      <c r="E63" s="38"/>
      <c r="F63" s="37"/>
      <c r="G63" s="39"/>
    </row>
    <row r="64" spans="2:7" x14ac:dyDescent="0.25">
      <c r="B64" s="30"/>
      <c r="C64" s="30"/>
      <c r="D64" s="37"/>
      <c r="E64" s="38"/>
      <c r="F64" s="37"/>
      <c r="G64" s="39"/>
    </row>
    <row r="65" spans="2:7" x14ac:dyDescent="0.25">
      <c r="B65" s="30"/>
      <c r="C65" s="30"/>
      <c r="D65" s="37"/>
      <c r="E65" s="38"/>
      <c r="F65" s="37"/>
      <c r="G65" s="39"/>
    </row>
    <row r="66" spans="2:7" x14ac:dyDescent="0.25">
      <c r="B66" s="30"/>
      <c r="C66" s="30"/>
      <c r="D66" s="37"/>
      <c r="E66" s="38"/>
      <c r="F66" s="37"/>
      <c r="G66" s="39"/>
    </row>
    <row r="67" spans="2:7" x14ac:dyDescent="0.25">
      <c r="B67" s="30"/>
      <c r="C67" s="30"/>
      <c r="D67" s="37"/>
      <c r="E67" s="38"/>
      <c r="F67" s="37"/>
      <c r="G67" s="39"/>
    </row>
    <row r="68" spans="2:7" x14ac:dyDescent="0.25">
      <c r="B68" s="30"/>
      <c r="C68" s="30"/>
      <c r="D68" s="37"/>
      <c r="E68" s="38"/>
      <c r="F68" s="37"/>
      <c r="G68" s="39"/>
    </row>
    <row r="69" spans="2:7" x14ac:dyDescent="0.25">
      <c r="B69" s="30"/>
      <c r="C69" s="30"/>
      <c r="D69" s="37"/>
      <c r="E69" s="38"/>
      <c r="F69" s="37"/>
      <c r="G69" s="39"/>
    </row>
    <row r="70" spans="2:7" x14ac:dyDescent="0.25">
      <c r="B70" s="30"/>
      <c r="C70" s="30"/>
      <c r="D70" s="37"/>
      <c r="E70" s="38"/>
      <c r="F70" s="37"/>
      <c r="G70" s="39"/>
    </row>
    <row r="71" spans="2:7" x14ac:dyDescent="0.25">
      <c r="B71" s="30"/>
      <c r="C71" s="30"/>
      <c r="D71" s="37"/>
      <c r="E71" s="38"/>
      <c r="F71" s="37"/>
      <c r="G71" s="39"/>
    </row>
    <row r="72" spans="2:7" x14ac:dyDescent="0.25">
      <c r="B72" s="30"/>
      <c r="C72" s="30"/>
      <c r="D72" s="37"/>
      <c r="E72" s="38"/>
      <c r="F72" s="37"/>
      <c r="G72" s="39"/>
    </row>
    <row r="73" spans="2:7" x14ac:dyDescent="0.25">
      <c r="B73" s="30"/>
      <c r="C73" s="30"/>
      <c r="D73" s="37"/>
      <c r="E73" s="38"/>
      <c r="F73" s="37"/>
      <c r="G73" s="39"/>
    </row>
    <row r="74" spans="2:7" x14ac:dyDescent="0.25">
      <c r="B74" s="30"/>
      <c r="C74" s="30"/>
      <c r="D74" s="37"/>
      <c r="E74" s="38"/>
      <c r="F74" s="37"/>
      <c r="G74" s="39"/>
    </row>
    <row r="75" spans="2:7" x14ac:dyDescent="0.25">
      <c r="B75" s="30"/>
      <c r="C75" s="30"/>
      <c r="D75" s="37"/>
      <c r="E75" s="38"/>
      <c r="F75" s="37"/>
      <c r="G75" s="39"/>
    </row>
    <row r="76" spans="2:7" x14ac:dyDescent="0.25">
      <c r="B76" s="30"/>
      <c r="C76" s="30"/>
      <c r="D76" s="37"/>
      <c r="E76" s="38"/>
      <c r="F76" s="37"/>
      <c r="G76" s="39"/>
    </row>
    <row r="77" spans="2:7" x14ac:dyDescent="0.25">
      <c r="B77" s="30"/>
      <c r="C77" s="30"/>
      <c r="D77" s="37"/>
      <c r="E77" s="38"/>
      <c r="F77" s="37"/>
      <c r="G77" s="39"/>
    </row>
    <row r="78" spans="2:7" x14ac:dyDescent="0.25">
      <c r="B78" s="30"/>
      <c r="C78" s="30"/>
      <c r="D78" s="37"/>
      <c r="E78" s="38"/>
      <c r="F78" s="37"/>
      <c r="G78" s="39"/>
    </row>
    <row r="79" spans="2:7" x14ac:dyDescent="0.25">
      <c r="B79" s="30"/>
      <c r="C79" s="30"/>
      <c r="D79" s="37"/>
      <c r="E79" s="38"/>
      <c r="F79" s="37"/>
      <c r="G79" s="39"/>
    </row>
    <row r="80" spans="2:7" x14ac:dyDescent="0.25">
      <c r="B80" s="30"/>
      <c r="C80" s="30"/>
      <c r="D80" s="37"/>
      <c r="E80" s="38"/>
      <c r="F80" s="37"/>
      <c r="G80" s="39"/>
    </row>
    <row r="81" spans="2:7" x14ac:dyDescent="0.25">
      <c r="B81" s="30"/>
      <c r="C81" s="30"/>
      <c r="D81" s="37"/>
      <c r="E81" s="38"/>
      <c r="F81" s="37"/>
      <c r="G81" s="39"/>
    </row>
    <row r="82" spans="2:7" x14ac:dyDescent="0.25">
      <c r="B82" s="30"/>
      <c r="C82" s="30"/>
      <c r="D82" s="37"/>
      <c r="E82" s="38"/>
      <c r="F82" s="37"/>
      <c r="G82" s="39"/>
    </row>
    <row r="83" spans="2:7" x14ac:dyDescent="0.25">
      <c r="B83" s="30"/>
      <c r="C83" s="30"/>
      <c r="D83" s="37"/>
      <c r="E83" s="38"/>
      <c r="F83" s="37"/>
      <c r="G83" s="39"/>
    </row>
    <row r="84" spans="2:7" x14ac:dyDescent="0.25">
      <c r="B84" s="30"/>
      <c r="C84" s="30"/>
      <c r="D84" s="37"/>
      <c r="E84" s="38"/>
      <c r="F84" s="37"/>
      <c r="G84" s="39"/>
    </row>
    <row r="85" spans="2:7" x14ac:dyDescent="0.25">
      <c r="B85" s="30"/>
      <c r="C85" s="30"/>
      <c r="D85" s="37"/>
      <c r="E85" s="38"/>
      <c r="F85" s="37"/>
      <c r="G85" s="39"/>
    </row>
    <row r="86" spans="2:7" x14ac:dyDescent="0.25">
      <c r="B86" s="30"/>
      <c r="C86" s="30"/>
      <c r="D86" s="37"/>
      <c r="E86" s="38"/>
      <c r="F86" s="37"/>
      <c r="G86" s="39"/>
    </row>
    <row r="87" spans="2:7" x14ac:dyDescent="0.25">
      <c r="B87" s="30"/>
      <c r="C87" s="30"/>
      <c r="D87" s="37"/>
      <c r="E87" s="38"/>
      <c r="F87" s="37"/>
      <c r="G87" s="39"/>
    </row>
    <row r="88" spans="2:7" x14ac:dyDescent="0.25">
      <c r="B88" s="30"/>
      <c r="C88" s="30"/>
      <c r="D88" s="37"/>
      <c r="E88" s="38"/>
      <c r="F88" s="37"/>
      <c r="G88" s="39"/>
    </row>
    <row r="89" spans="2:7" x14ac:dyDescent="0.25">
      <c r="B89" s="30"/>
      <c r="C89" s="30"/>
      <c r="D89" s="37"/>
      <c r="E89" s="38"/>
      <c r="F89" s="37"/>
      <c r="G89" s="39"/>
    </row>
    <row r="90" spans="2:7" x14ac:dyDescent="0.25">
      <c r="B90" s="30"/>
      <c r="C90" s="30"/>
      <c r="D90" s="37"/>
      <c r="E90" s="38"/>
      <c r="F90" s="37"/>
      <c r="G90" s="39"/>
    </row>
    <row r="91" spans="2:7" x14ac:dyDescent="0.25">
      <c r="B91" s="30"/>
      <c r="C91" s="30"/>
      <c r="D91" s="37"/>
      <c r="E91" s="38"/>
      <c r="F91" s="37"/>
      <c r="G91" s="39"/>
    </row>
    <row r="92" spans="2:7" x14ac:dyDescent="0.25">
      <c r="B92" s="30"/>
      <c r="C92" s="30"/>
      <c r="D92" s="37"/>
      <c r="E92" s="38"/>
      <c r="F92" s="37"/>
      <c r="G92" s="39"/>
    </row>
    <row r="93" spans="2:7" x14ac:dyDescent="0.25">
      <c r="B93" s="30"/>
      <c r="C93" s="25"/>
      <c r="D93" s="26"/>
      <c r="E93" s="27"/>
      <c r="F93" s="26"/>
      <c r="G93" s="28"/>
    </row>
    <row r="94" spans="2:7" x14ac:dyDescent="0.25">
      <c r="B94" s="30"/>
      <c r="C94" s="12"/>
      <c r="D94" s="10"/>
      <c r="E94" s="15"/>
      <c r="F94" s="10"/>
      <c r="G94" s="11"/>
    </row>
    <row r="95" spans="2:7" x14ac:dyDescent="0.25">
      <c r="B95" s="30"/>
      <c r="C95" s="12"/>
      <c r="D95" s="10"/>
      <c r="E95" s="15"/>
      <c r="F95" s="10"/>
      <c r="G95" s="11"/>
    </row>
    <row r="96" spans="2:7" x14ac:dyDescent="0.25">
      <c r="B96" s="30"/>
      <c r="C96" s="12"/>
      <c r="D96" s="10"/>
      <c r="E96" s="15"/>
      <c r="F96" s="10"/>
      <c r="G96" s="11"/>
    </row>
    <row r="97" spans="2:7" x14ac:dyDescent="0.25">
      <c r="B97" s="30"/>
      <c r="C97" s="12"/>
      <c r="D97" s="10"/>
      <c r="E97" s="15"/>
      <c r="F97" s="10"/>
      <c r="G97" s="11"/>
    </row>
    <row r="98" spans="2:7" x14ac:dyDescent="0.25">
      <c r="B98" s="30"/>
      <c r="C98" s="12"/>
      <c r="D98" s="10"/>
      <c r="E98" s="15"/>
      <c r="F98" s="10"/>
      <c r="G98" s="11"/>
    </row>
    <row r="99" spans="2:7" x14ac:dyDescent="0.25">
      <c r="B99" s="30"/>
      <c r="C99" s="12"/>
      <c r="D99" s="10"/>
      <c r="E99" s="15"/>
      <c r="F99" s="10"/>
      <c r="G99" s="11"/>
    </row>
    <row r="100" spans="2:7" x14ac:dyDescent="0.25">
      <c r="B100" s="30"/>
      <c r="C100" s="12"/>
      <c r="D100" s="10"/>
      <c r="E100" s="15"/>
      <c r="F100" s="10"/>
      <c r="G100" s="11"/>
    </row>
    <row r="101" spans="2:7" x14ac:dyDescent="0.25">
      <c r="B101" s="30"/>
      <c r="C101" s="12"/>
      <c r="D101" s="10"/>
      <c r="E101" s="15"/>
      <c r="F101" s="10"/>
      <c r="G101" s="11"/>
    </row>
    <row r="102" spans="2:7" x14ac:dyDescent="0.25">
      <c r="B102" s="30"/>
      <c r="C102" s="12"/>
      <c r="D102" s="10"/>
      <c r="E102" s="15"/>
      <c r="F102" s="10"/>
      <c r="G102" s="11"/>
    </row>
    <row r="103" spans="2:7" x14ac:dyDescent="0.25">
      <c r="B103" s="30"/>
      <c r="C103" s="12"/>
      <c r="D103" s="10"/>
      <c r="E103" s="15"/>
      <c r="F103" s="10"/>
      <c r="G103" s="11"/>
    </row>
    <row r="104" spans="2:7" x14ac:dyDescent="0.25">
      <c r="B104" s="30"/>
      <c r="C104" s="12"/>
      <c r="D104" s="10"/>
      <c r="E104" s="15"/>
      <c r="F104" s="10"/>
      <c r="G104" s="11"/>
    </row>
    <row r="105" spans="2:7" x14ac:dyDescent="0.25">
      <c r="B105" s="30"/>
      <c r="C105" s="12"/>
      <c r="D105" s="10"/>
      <c r="E105" s="15"/>
      <c r="F105" s="10"/>
      <c r="G105" s="11"/>
    </row>
    <row r="106" spans="2:7" x14ac:dyDescent="0.25">
      <c r="B106" s="30"/>
      <c r="C106" s="12"/>
      <c r="D106" s="10"/>
      <c r="E106" s="15"/>
      <c r="F106" s="10"/>
      <c r="G106" s="11"/>
    </row>
    <row r="107" spans="2:7" x14ac:dyDescent="0.25">
      <c r="B107" s="30"/>
      <c r="C107" s="12"/>
      <c r="D107" s="10"/>
      <c r="E107" s="15"/>
      <c r="F107" s="10"/>
      <c r="G107" s="11"/>
    </row>
    <row r="108" spans="2:7" x14ac:dyDescent="0.25">
      <c r="B108" s="30"/>
      <c r="C108" s="12"/>
      <c r="D108" s="10"/>
      <c r="E108" s="15"/>
      <c r="F108" s="10"/>
      <c r="G108" s="11"/>
    </row>
    <row r="109" spans="2:7" x14ac:dyDescent="0.25">
      <c r="B109" s="30"/>
      <c r="C109" s="12"/>
      <c r="D109" s="10"/>
      <c r="E109" s="15"/>
      <c r="F109" s="10"/>
      <c r="G109" s="11"/>
    </row>
    <row r="110" spans="2:7" x14ac:dyDescent="0.25">
      <c r="B110" s="5" t="s">
        <v>38</v>
      </c>
      <c r="C110" s="5" t="s">
        <v>38</v>
      </c>
      <c r="D110" s="5"/>
      <c r="E110" s="5"/>
      <c r="F110" s="5"/>
      <c r="G110" s="6">
        <f>SUM(G10:G109)</f>
        <v>0</v>
      </c>
    </row>
  </sheetData>
  <autoFilter ref="B9:G93" xr:uid="{00000000-0001-0000-0200-000000000000}"/>
  <mergeCells count="3">
    <mergeCell ref="B1:K1"/>
    <mergeCell ref="B8:G8"/>
    <mergeCell ref="I8:K8"/>
  </mergeCells>
  <dataValidations count="1">
    <dataValidation type="list" allowBlank="1" showInputMessage="1" showErrorMessage="1" sqref="F10:F109" xr:uid="{E05BFB4F-7C34-42C1-A316-4CA0F33BD38B}">
      <formula1>$I$10:$I$20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DA2E1C-26D3-41C4-AA3B-33F3E7949929}">
          <x14:formula1>
            <xm:f>Resumo!$B$6:$B$17</xm:f>
          </x14:formula1>
          <xm:sqref>D2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A7411-48B9-44B9-B90D-E8C88809388F}">
  <sheetPr>
    <tabColor theme="4"/>
  </sheetPr>
  <dimension ref="A1:M61"/>
  <sheetViews>
    <sheetView showGridLines="0" zoomScaleNormal="100" workbookViewId="0">
      <selection activeCell="L26" sqref="L26"/>
    </sheetView>
  </sheetViews>
  <sheetFormatPr defaultColWidth="8.7109375" defaultRowHeight="15" x14ac:dyDescent="0.25"/>
  <cols>
    <col min="1" max="1" width="2" customWidth="1"/>
    <col min="2" max="2" width="22" customWidth="1"/>
    <col min="3" max="3" width="14" customWidth="1"/>
    <col min="4" max="4" width="4" customWidth="1"/>
    <col min="5" max="5" width="11" style="18" customWidth="1"/>
    <col min="6" max="6" width="26" customWidth="1"/>
    <col min="7" max="7" width="25.7109375" bestFit="1" customWidth="1"/>
    <col min="8" max="8" width="12" customWidth="1"/>
    <col min="9" max="9" width="12.7109375" customWidth="1"/>
    <col min="10" max="10" width="2" customWidth="1"/>
    <col min="11" max="11" width="26" customWidth="1"/>
    <col min="12" max="12" width="13" customWidth="1"/>
    <col min="13" max="13" width="9.7109375" customWidth="1"/>
  </cols>
  <sheetData>
    <row r="1" spans="1:13" ht="24" customHeight="1" x14ac:dyDescent="0.25">
      <c r="B1" s="45" t="s">
        <v>25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x14ac:dyDescent="0.25">
      <c r="B2" s="7" t="s">
        <v>26</v>
      </c>
      <c r="C2" s="9" t="s">
        <v>8</v>
      </c>
      <c r="D2" s="8" t="s">
        <v>27</v>
      </c>
    </row>
    <row r="4" spans="1:13" x14ac:dyDescent="0.25">
      <c r="B4" s="5" t="s">
        <v>28</v>
      </c>
      <c r="C4" s="6">
        <f>C21</f>
        <v>0</v>
      </c>
      <c r="G4" s="5" t="s">
        <v>71</v>
      </c>
      <c r="H4" s="6">
        <f>SUMIF($I$11:$I$60,"Pago",$H$11:$H$60)</f>
        <v>0</v>
      </c>
    </row>
    <row r="5" spans="1:13" x14ac:dyDescent="0.25">
      <c r="B5" s="5" t="s">
        <v>29</v>
      </c>
      <c r="C5" s="6">
        <f>L20</f>
        <v>0</v>
      </c>
      <c r="G5" s="5" t="s">
        <v>72</v>
      </c>
      <c r="H5" s="6">
        <f>SUMIF($I$11:$I$60,"Não pago",$H$11:$H$60)</f>
        <v>0</v>
      </c>
    </row>
    <row r="6" spans="1:13" x14ac:dyDescent="0.25">
      <c r="B6" s="5" t="s">
        <v>30</v>
      </c>
      <c r="C6" s="6">
        <f>C4-C5</f>
        <v>0</v>
      </c>
    </row>
    <row r="8" spans="1:13" x14ac:dyDescent="0.25">
      <c r="A8" s="18"/>
      <c r="B8" s="18"/>
      <c r="C8" s="18"/>
      <c r="D8" s="18"/>
    </row>
    <row r="9" spans="1:13" ht="16.5" x14ac:dyDescent="0.25">
      <c r="B9" s="45" t="s">
        <v>31</v>
      </c>
      <c r="C9" s="45"/>
      <c r="E9" s="45" t="s">
        <v>32</v>
      </c>
      <c r="F9" s="45"/>
      <c r="G9" s="45"/>
      <c r="H9" s="45"/>
      <c r="I9" s="45"/>
      <c r="K9" s="45" t="s">
        <v>33</v>
      </c>
      <c r="L9" s="45"/>
      <c r="M9" s="45"/>
    </row>
    <row r="10" spans="1:13" x14ac:dyDescent="0.25">
      <c r="B10" s="1" t="s">
        <v>34</v>
      </c>
      <c r="C10" s="1" t="s">
        <v>35</v>
      </c>
      <c r="E10" s="17" t="s">
        <v>36</v>
      </c>
      <c r="F10" s="1" t="s">
        <v>34</v>
      </c>
      <c r="G10" s="1" t="s">
        <v>37</v>
      </c>
      <c r="H10" s="1" t="s">
        <v>35</v>
      </c>
      <c r="I10" s="1" t="s">
        <v>70</v>
      </c>
      <c r="K10" s="1" t="s">
        <v>37</v>
      </c>
      <c r="L10" s="1" t="s">
        <v>38</v>
      </c>
      <c r="M10" s="1" t="s">
        <v>39</v>
      </c>
    </row>
    <row r="11" spans="1:13" x14ac:dyDescent="0.25">
      <c r="B11" s="10"/>
      <c r="C11" s="11"/>
      <c r="E11" s="16"/>
      <c r="F11" s="10"/>
      <c r="G11" s="10"/>
      <c r="H11" s="20"/>
      <c r="I11" s="23"/>
      <c r="K11" s="21" t="s">
        <v>40</v>
      </c>
      <c r="L11" s="4">
        <f t="shared" ref="L11:L18" si="0">SUMIF($G$11:$G$60,K11,$H$11:$H$60)</f>
        <v>0</v>
      </c>
      <c r="M11" s="13">
        <f t="shared" ref="M11:M18" si="1">IF($L$20=0,0,L11/$L$20)</f>
        <v>0</v>
      </c>
    </row>
    <row r="12" spans="1:13" x14ac:dyDescent="0.25">
      <c r="B12" s="10"/>
      <c r="C12" s="11"/>
      <c r="E12" s="16"/>
      <c r="F12" s="10"/>
      <c r="G12" s="10"/>
      <c r="H12" s="20"/>
      <c r="I12" s="23"/>
      <c r="K12" s="21" t="s">
        <v>41</v>
      </c>
      <c r="L12" s="4">
        <f t="shared" si="0"/>
        <v>0</v>
      </c>
      <c r="M12" s="13">
        <f t="shared" si="1"/>
        <v>0</v>
      </c>
    </row>
    <row r="13" spans="1:13" x14ac:dyDescent="0.25">
      <c r="B13" s="10"/>
      <c r="C13" s="11"/>
      <c r="E13" s="16"/>
      <c r="F13" s="10"/>
      <c r="G13" s="10"/>
      <c r="H13" s="20"/>
      <c r="I13" s="23"/>
      <c r="K13" s="21" t="s">
        <v>42</v>
      </c>
      <c r="L13" s="4">
        <f t="shared" si="0"/>
        <v>0</v>
      </c>
      <c r="M13" s="13">
        <f t="shared" si="1"/>
        <v>0</v>
      </c>
    </row>
    <row r="14" spans="1:13" x14ac:dyDescent="0.25">
      <c r="B14" s="10"/>
      <c r="C14" s="11"/>
      <c r="E14" s="16"/>
      <c r="F14" s="10"/>
      <c r="G14" s="10"/>
      <c r="H14" s="20"/>
      <c r="I14" s="23"/>
      <c r="K14" s="21" t="s">
        <v>43</v>
      </c>
      <c r="L14" s="4">
        <f t="shared" si="0"/>
        <v>0</v>
      </c>
      <c r="M14" s="13">
        <f t="shared" si="1"/>
        <v>0</v>
      </c>
    </row>
    <row r="15" spans="1:13" x14ac:dyDescent="0.25">
      <c r="B15" s="10"/>
      <c r="C15" s="11"/>
      <c r="E15" s="16"/>
      <c r="F15" s="10"/>
      <c r="G15" s="10"/>
      <c r="H15" s="20"/>
      <c r="I15" s="23"/>
      <c r="K15" s="21" t="s">
        <v>44</v>
      </c>
      <c r="L15" s="4">
        <f t="shared" si="0"/>
        <v>0</v>
      </c>
      <c r="M15" s="13">
        <f t="shared" si="1"/>
        <v>0</v>
      </c>
    </row>
    <row r="16" spans="1:13" x14ac:dyDescent="0.25">
      <c r="B16" s="10"/>
      <c r="C16" s="11"/>
      <c r="E16" s="16"/>
      <c r="F16" s="10"/>
      <c r="G16" s="10"/>
      <c r="H16" s="20"/>
      <c r="I16" s="23"/>
      <c r="K16" s="21" t="s">
        <v>45</v>
      </c>
      <c r="L16" s="4">
        <f t="shared" si="0"/>
        <v>0</v>
      </c>
      <c r="M16" s="13">
        <f t="shared" si="1"/>
        <v>0</v>
      </c>
    </row>
    <row r="17" spans="2:13" x14ac:dyDescent="0.25">
      <c r="B17" s="10"/>
      <c r="C17" s="11"/>
      <c r="E17" s="16"/>
      <c r="F17" s="10"/>
      <c r="G17" s="10"/>
      <c r="H17" s="20"/>
      <c r="I17" s="23"/>
      <c r="K17" s="21" t="s">
        <v>46</v>
      </c>
      <c r="L17" s="4">
        <f t="shared" si="0"/>
        <v>0</v>
      </c>
      <c r="M17" s="13">
        <f t="shared" si="1"/>
        <v>0</v>
      </c>
    </row>
    <row r="18" spans="2:13" x14ac:dyDescent="0.25">
      <c r="B18" s="10"/>
      <c r="C18" s="11"/>
      <c r="E18" s="16"/>
      <c r="F18" s="10"/>
      <c r="G18" s="10"/>
      <c r="H18" s="20"/>
      <c r="I18" s="23"/>
      <c r="K18" s="21" t="s">
        <v>47</v>
      </c>
      <c r="L18" s="4">
        <f t="shared" si="0"/>
        <v>0</v>
      </c>
      <c r="M18" s="13">
        <f t="shared" si="1"/>
        <v>0</v>
      </c>
    </row>
    <row r="19" spans="2:13" x14ac:dyDescent="0.25">
      <c r="B19" s="10"/>
      <c r="C19" s="11"/>
      <c r="E19" s="16"/>
      <c r="F19" s="10"/>
      <c r="G19" s="10"/>
      <c r="H19" s="20"/>
      <c r="I19" s="23"/>
      <c r="K19" s="21" t="s">
        <v>48</v>
      </c>
      <c r="L19" s="3">
        <f>IFERROR('Fevereiro-Cartão'!D4,0)</f>
        <v>0</v>
      </c>
      <c r="M19" s="13">
        <f>IF($L$20=0,0,L19/$L$20)</f>
        <v>0</v>
      </c>
    </row>
    <row r="20" spans="2:13" x14ac:dyDescent="0.25">
      <c r="B20" s="10"/>
      <c r="C20" s="11"/>
      <c r="E20" s="16"/>
      <c r="F20" s="10"/>
      <c r="G20" s="10"/>
      <c r="H20" s="20"/>
      <c r="I20" s="23"/>
      <c r="K20" s="22" t="s">
        <v>38</v>
      </c>
      <c r="L20" s="6">
        <f>SUM(L11:L19)</f>
        <v>0</v>
      </c>
      <c r="M20" s="14">
        <f>IF(L20=0,0,L20/L20)</f>
        <v>0</v>
      </c>
    </row>
    <row r="21" spans="2:13" x14ac:dyDescent="0.25">
      <c r="B21" s="5" t="s">
        <v>38</v>
      </c>
      <c r="C21" s="6">
        <f>SUM(C11:C20)</f>
        <v>0</v>
      </c>
      <c r="E21" s="16"/>
      <c r="F21" s="10"/>
      <c r="G21" s="10"/>
      <c r="H21" s="20"/>
      <c r="I21" s="23"/>
    </row>
    <row r="22" spans="2:13" x14ac:dyDescent="0.25">
      <c r="E22" s="16"/>
      <c r="F22" s="10"/>
      <c r="G22" s="10"/>
      <c r="H22" s="20"/>
      <c r="I22" s="23"/>
      <c r="K22" s="44" t="s">
        <v>49</v>
      </c>
      <c r="L22" s="44"/>
      <c r="M22" s="44"/>
    </row>
    <row r="23" spans="2:13" x14ac:dyDescent="0.25">
      <c r="E23" s="16"/>
      <c r="F23" s="10"/>
      <c r="G23" s="10"/>
      <c r="H23" s="20"/>
      <c r="I23" s="23"/>
      <c r="K23" s="44"/>
      <c r="L23" s="44"/>
      <c r="M23" s="44"/>
    </row>
    <row r="24" spans="2:13" x14ac:dyDescent="0.25">
      <c r="E24" s="16"/>
      <c r="F24" s="10"/>
      <c r="G24" s="10"/>
      <c r="H24" s="20"/>
      <c r="I24" s="23"/>
    </row>
    <row r="25" spans="2:13" x14ac:dyDescent="0.25">
      <c r="E25" s="16"/>
      <c r="F25" s="10"/>
      <c r="G25" s="10"/>
      <c r="H25" s="20"/>
      <c r="I25" s="23"/>
    </row>
    <row r="26" spans="2:13" x14ac:dyDescent="0.25">
      <c r="E26" s="16"/>
      <c r="F26" s="10"/>
      <c r="G26" s="10"/>
      <c r="H26" s="20"/>
      <c r="I26" s="23"/>
    </row>
    <row r="27" spans="2:13" x14ac:dyDescent="0.25">
      <c r="E27" s="16"/>
      <c r="F27" s="10"/>
      <c r="G27" s="10"/>
      <c r="H27" s="20"/>
      <c r="I27" s="23"/>
    </row>
    <row r="28" spans="2:13" x14ac:dyDescent="0.25">
      <c r="E28" s="16"/>
      <c r="F28" s="10"/>
      <c r="G28" s="10"/>
      <c r="H28" s="20"/>
      <c r="I28" s="23"/>
    </row>
    <row r="29" spans="2:13" x14ac:dyDescent="0.25">
      <c r="E29" s="16"/>
      <c r="F29" s="10"/>
      <c r="G29" s="10"/>
      <c r="H29" s="20"/>
      <c r="I29" s="23"/>
    </row>
    <row r="30" spans="2:13" x14ac:dyDescent="0.25">
      <c r="E30" s="16"/>
      <c r="F30" s="10"/>
      <c r="G30" s="10"/>
      <c r="H30" s="20"/>
      <c r="I30" s="23"/>
    </row>
    <row r="31" spans="2:13" x14ac:dyDescent="0.25">
      <c r="E31" s="16"/>
      <c r="F31" s="10"/>
      <c r="G31" s="10"/>
      <c r="H31" s="20"/>
      <c r="I31" s="23"/>
    </row>
    <row r="32" spans="2:13" x14ac:dyDescent="0.25">
      <c r="E32" s="16"/>
      <c r="F32" s="10"/>
      <c r="G32" s="10"/>
      <c r="H32" s="20"/>
      <c r="I32" s="23"/>
    </row>
    <row r="33" spans="5:9" x14ac:dyDescent="0.25">
      <c r="E33" s="16"/>
      <c r="F33" s="10"/>
      <c r="G33" s="10"/>
      <c r="H33" s="20"/>
      <c r="I33" s="23"/>
    </row>
    <row r="34" spans="5:9" x14ac:dyDescent="0.25">
      <c r="E34" s="16"/>
      <c r="F34" s="10"/>
      <c r="G34" s="10"/>
      <c r="H34" s="20"/>
      <c r="I34" s="23"/>
    </row>
    <row r="35" spans="5:9" x14ac:dyDescent="0.25">
      <c r="E35" s="16"/>
      <c r="F35" s="10"/>
      <c r="G35" s="10"/>
      <c r="H35" s="20"/>
      <c r="I35" s="23"/>
    </row>
    <row r="36" spans="5:9" x14ac:dyDescent="0.25">
      <c r="E36" s="16"/>
      <c r="F36" s="10"/>
      <c r="G36" s="10"/>
      <c r="H36" s="20"/>
      <c r="I36" s="23"/>
    </row>
    <row r="37" spans="5:9" x14ac:dyDescent="0.25">
      <c r="E37" s="16"/>
      <c r="F37" s="10"/>
      <c r="G37" s="10"/>
      <c r="H37" s="20"/>
      <c r="I37" s="23"/>
    </row>
    <row r="38" spans="5:9" x14ac:dyDescent="0.25">
      <c r="E38" s="16"/>
      <c r="F38" s="10"/>
      <c r="G38" s="10"/>
      <c r="H38" s="20"/>
      <c r="I38" s="23"/>
    </row>
    <row r="39" spans="5:9" x14ac:dyDescent="0.25">
      <c r="E39" s="16"/>
      <c r="F39" s="10"/>
      <c r="G39" s="10"/>
      <c r="H39" s="20"/>
      <c r="I39" s="23"/>
    </row>
    <row r="40" spans="5:9" x14ac:dyDescent="0.25">
      <c r="E40" s="16"/>
      <c r="F40" s="10"/>
      <c r="G40" s="10"/>
      <c r="H40" s="20"/>
      <c r="I40" s="23"/>
    </row>
    <row r="41" spans="5:9" x14ac:dyDescent="0.25">
      <c r="E41" s="16"/>
      <c r="F41" s="10"/>
      <c r="G41" s="10"/>
      <c r="H41" s="20"/>
      <c r="I41" s="23"/>
    </row>
    <row r="42" spans="5:9" x14ac:dyDescent="0.25">
      <c r="E42" s="16"/>
      <c r="F42" s="10"/>
      <c r="G42" s="10"/>
      <c r="H42" s="20"/>
      <c r="I42" s="23"/>
    </row>
    <row r="43" spans="5:9" x14ac:dyDescent="0.25">
      <c r="E43" s="16"/>
      <c r="F43" s="10"/>
      <c r="G43" s="10"/>
      <c r="H43" s="20"/>
      <c r="I43" s="23"/>
    </row>
    <row r="44" spans="5:9" x14ac:dyDescent="0.25">
      <c r="E44" s="16"/>
      <c r="F44" s="10"/>
      <c r="G44" s="10"/>
      <c r="H44" s="20"/>
      <c r="I44" s="23"/>
    </row>
    <row r="45" spans="5:9" x14ac:dyDescent="0.25">
      <c r="E45" s="16"/>
      <c r="F45" s="10"/>
      <c r="G45" s="10"/>
      <c r="H45" s="20"/>
      <c r="I45" s="23"/>
    </row>
    <row r="46" spans="5:9" x14ac:dyDescent="0.25">
      <c r="E46" s="16"/>
      <c r="F46" s="10"/>
      <c r="G46" s="10"/>
      <c r="H46" s="20"/>
      <c r="I46" s="23"/>
    </row>
    <row r="47" spans="5:9" x14ac:dyDescent="0.25">
      <c r="E47" s="16"/>
      <c r="F47" s="10"/>
      <c r="G47" s="10"/>
      <c r="H47" s="20"/>
      <c r="I47" s="23"/>
    </row>
    <row r="48" spans="5:9" x14ac:dyDescent="0.25">
      <c r="E48" s="16"/>
      <c r="F48" s="10"/>
      <c r="G48" s="10"/>
      <c r="H48" s="20"/>
      <c r="I48" s="23"/>
    </row>
    <row r="49" spans="5:10" x14ac:dyDescent="0.25">
      <c r="E49" s="16"/>
      <c r="F49" s="10"/>
      <c r="G49" s="10"/>
      <c r="H49" s="20"/>
      <c r="I49" s="23"/>
    </row>
    <row r="50" spans="5:10" x14ac:dyDescent="0.25">
      <c r="E50" s="16"/>
      <c r="F50" s="10"/>
      <c r="G50" s="10"/>
      <c r="H50" s="20"/>
      <c r="I50" s="23"/>
    </row>
    <row r="51" spans="5:10" x14ac:dyDescent="0.25">
      <c r="E51" s="16"/>
      <c r="F51" s="10"/>
      <c r="G51" s="10"/>
      <c r="H51" s="20"/>
      <c r="I51" s="23"/>
    </row>
    <row r="52" spans="5:10" x14ac:dyDescent="0.25">
      <c r="E52" s="16"/>
      <c r="F52" s="10"/>
      <c r="G52" s="10"/>
      <c r="H52" s="20"/>
      <c r="I52" s="23"/>
      <c r="J52" s="24"/>
    </row>
    <row r="53" spans="5:10" x14ac:dyDescent="0.25">
      <c r="E53" s="16"/>
      <c r="F53" s="10"/>
      <c r="G53" s="10"/>
      <c r="H53" s="20"/>
      <c r="I53" s="23"/>
      <c r="J53" s="24"/>
    </row>
    <row r="54" spans="5:10" x14ac:dyDescent="0.25">
      <c r="E54" s="16"/>
      <c r="F54" s="10"/>
      <c r="G54" s="10"/>
      <c r="H54" s="20"/>
      <c r="I54" s="23"/>
      <c r="J54" s="24"/>
    </row>
    <row r="55" spans="5:10" x14ac:dyDescent="0.25">
      <c r="E55" s="16"/>
      <c r="F55" s="10"/>
      <c r="G55" s="10"/>
      <c r="H55" s="20"/>
      <c r="I55" s="23"/>
      <c r="J55" s="24"/>
    </row>
    <row r="56" spans="5:10" x14ac:dyDescent="0.25">
      <c r="E56" s="16"/>
      <c r="F56" s="10"/>
      <c r="G56" s="10"/>
      <c r="H56" s="20"/>
      <c r="I56" s="23"/>
      <c r="J56" s="24"/>
    </row>
    <row r="57" spans="5:10" x14ac:dyDescent="0.25">
      <c r="E57" s="16"/>
      <c r="F57" s="10"/>
      <c r="G57" s="10"/>
      <c r="H57" s="20"/>
      <c r="I57" s="23"/>
      <c r="J57" s="24"/>
    </row>
    <row r="58" spans="5:10" x14ac:dyDescent="0.25">
      <c r="E58" s="16"/>
      <c r="F58" s="10"/>
      <c r="G58" s="10"/>
      <c r="H58" s="20"/>
      <c r="I58" s="23"/>
      <c r="J58" s="24"/>
    </row>
    <row r="59" spans="5:10" x14ac:dyDescent="0.25">
      <c r="E59" s="16"/>
      <c r="F59" s="10"/>
      <c r="G59" s="10"/>
      <c r="H59" s="20"/>
      <c r="I59" s="23"/>
      <c r="J59" s="24"/>
    </row>
    <row r="60" spans="5:10" x14ac:dyDescent="0.25">
      <c r="E60" s="16"/>
      <c r="F60" s="10"/>
      <c r="G60" s="10"/>
      <c r="H60" s="20"/>
      <c r="I60" s="23"/>
      <c r="J60" s="24"/>
    </row>
    <row r="61" spans="5:10" x14ac:dyDescent="0.25">
      <c r="E61" s="19" t="s">
        <v>50</v>
      </c>
      <c r="F61" s="5"/>
      <c r="G61" s="5"/>
      <c r="H61" s="6">
        <f>SUM(H11:H60)</f>
        <v>0</v>
      </c>
    </row>
  </sheetData>
  <mergeCells count="5">
    <mergeCell ref="B1:M1"/>
    <mergeCell ref="B9:C9"/>
    <mergeCell ref="E9:I9"/>
    <mergeCell ref="K9:M9"/>
    <mergeCell ref="K22:M23"/>
  </mergeCells>
  <conditionalFormatting sqref="I11:I51 I52:J60">
    <cfRule type="cellIs" dxfId="23" priority="1" operator="equal">
      <formula>"Pago"</formula>
    </cfRule>
    <cfRule type="cellIs" dxfId="22" priority="2" operator="equal">
      <formula>"Não pago"</formula>
    </cfRule>
  </conditionalFormatting>
  <dataValidations count="2">
    <dataValidation type="list" allowBlank="1" showInputMessage="1" showErrorMessage="1" sqref="J52:J60 I11:I60" xr:uid="{745BD484-0697-4390-AB3A-9C7D3AF483B8}">
      <formula1>"Pago,Não pago"</formula1>
    </dataValidation>
    <dataValidation type="list" allowBlank="1" error="Escolha uma categoria da lista" sqref="G11:G60" xr:uid="{C882E9A6-EA4F-41EB-8671-3160AC0DCD3B}">
      <formula1>$K$11:$K$18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B7E9C6-EF8B-4C22-BE41-7703CF2F6B6A}">
          <x14:formula1>
            <xm:f>Resumo!$B$6:$B$17</xm:f>
          </x14:formula1>
          <xm:sqref>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7D39-B649-4835-AE53-27690DCC3567}">
  <sheetPr>
    <tabColor theme="4"/>
  </sheetPr>
  <dimension ref="B1:K110"/>
  <sheetViews>
    <sheetView showGridLines="0" zoomScaleNormal="100" workbookViewId="0">
      <selection activeCell="L26" sqref="L26"/>
    </sheetView>
  </sheetViews>
  <sheetFormatPr defaultColWidth="8.7109375" defaultRowHeight="15" x14ac:dyDescent="0.25"/>
  <cols>
    <col min="1" max="1" width="2" customWidth="1"/>
    <col min="2" max="2" width="15.5703125" customWidth="1"/>
    <col min="3" max="3" width="15" bestFit="1" customWidth="1"/>
    <col min="4" max="4" width="30" customWidth="1"/>
    <col min="5" max="5" width="9" customWidth="1"/>
    <col min="6" max="6" width="24" customWidth="1"/>
    <col min="7" max="7" width="12" customWidth="1"/>
    <col min="8" max="8" width="2" customWidth="1"/>
    <col min="9" max="9" width="24" customWidth="1"/>
    <col min="10" max="10" width="13" customWidth="1"/>
    <col min="11" max="11" width="8" customWidth="1"/>
  </cols>
  <sheetData>
    <row r="1" spans="2:11" ht="24" customHeight="1" x14ac:dyDescent="0.25">
      <c r="B1" s="45" t="s">
        <v>51</v>
      </c>
      <c r="C1" s="45"/>
      <c r="D1" s="45"/>
      <c r="E1" s="45"/>
      <c r="F1" s="45"/>
      <c r="G1" s="45"/>
      <c r="H1" s="45"/>
      <c r="I1" s="45"/>
      <c r="J1" s="45"/>
      <c r="K1" s="45"/>
    </row>
    <row r="2" spans="2:11" x14ac:dyDescent="0.25">
      <c r="C2" s="7" t="s">
        <v>26</v>
      </c>
      <c r="D2" s="9" t="s">
        <v>8</v>
      </c>
      <c r="E2" s="8" t="s">
        <v>52</v>
      </c>
    </row>
    <row r="3" spans="2:11" x14ac:dyDescent="0.25">
      <c r="I3" s="5" t="s">
        <v>145</v>
      </c>
      <c r="J3" s="6">
        <f>SUMIFS(G:G,B:B,I3)</f>
        <v>0</v>
      </c>
    </row>
    <row r="4" spans="2:11" x14ac:dyDescent="0.25">
      <c r="C4" s="5" t="s">
        <v>53</v>
      </c>
      <c r="D4" s="6">
        <f>G110</f>
        <v>0</v>
      </c>
      <c r="I4" s="5" t="s">
        <v>146</v>
      </c>
      <c r="J4" s="6">
        <f>SUMIFS(G:G,B:B,I4)</f>
        <v>0</v>
      </c>
    </row>
    <row r="5" spans="2:11" x14ac:dyDescent="0.25">
      <c r="I5" s="5" t="s">
        <v>147</v>
      </c>
      <c r="J5" s="6">
        <f>SUMIFS(G:G,B:B,I5)</f>
        <v>0</v>
      </c>
    </row>
    <row r="6" spans="2:11" x14ac:dyDescent="0.25">
      <c r="I6" s="43" t="s">
        <v>148</v>
      </c>
      <c r="J6" s="6">
        <f>SUM(J3:J5)</f>
        <v>0</v>
      </c>
    </row>
    <row r="8" spans="2:11" ht="16.5" x14ac:dyDescent="0.25">
      <c r="B8" s="45" t="s">
        <v>54</v>
      </c>
      <c r="C8" s="45"/>
      <c r="D8" s="45"/>
      <c r="E8" s="45"/>
      <c r="F8" s="45"/>
      <c r="G8" s="45"/>
      <c r="I8" s="45" t="s">
        <v>55</v>
      </c>
      <c r="J8" s="45"/>
      <c r="K8" s="45"/>
    </row>
    <row r="9" spans="2:11" x14ac:dyDescent="0.25">
      <c r="B9" s="1" t="s">
        <v>144</v>
      </c>
      <c r="C9" s="1" t="s">
        <v>36</v>
      </c>
      <c r="D9" s="1" t="s">
        <v>34</v>
      </c>
      <c r="E9" s="1" t="s">
        <v>56</v>
      </c>
      <c r="F9" s="1" t="s">
        <v>37</v>
      </c>
      <c r="G9" s="1" t="s">
        <v>35</v>
      </c>
      <c r="I9" s="1" t="s">
        <v>37</v>
      </c>
      <c r="J9" s="1" t="s">
        <v>38</v>
      </c>
      <c r="K9" s="1" t="s">
        <v>39</v>
      </c>
    </row>
    <row r="10" spans="2:11" x14ac:dyDescent="0.25">
      <c r="B10" s="16"/>
      <c r="C10" s="16"/>
      <c r="D10" s="31"/>
      <c r="E10" s="32"/>
      <c r="F10" s="31"/>
      <c r="G10" s="33"/>
      <c r="I10" s="40" t="s">
        <v>42</v>
      </c>
      <c r="J10" s="41">
        <f t="shared" ref="J10:J20" si="0">SUMIF($F$10:$F$109,I10,$G$10:$G$109)</f>
        <v>0</v>
      </c>
      <c r="K10" s="42">
        <f t="shared" ref="K10:K20" si="1">IF($J$21=0,0,J10/$J$21)</f>
        <v>0</v>
      </c>
    </row>
    <row r="11" spans="2:11" x14ac:dyDescent="0.25">
      <c r="B11" s="16"/>
      <c r="C11" s="16"/>
      <c r="D11" s="31"/>
      <c r="E11" s="32"/>
      <c r="F11" s="31"/>
      <c r="G11" s="33"/>
      <c r="I11" s="40" t="s">
        <v>57</v>
      </c>
      <c r="J11" s="41">
        <f t="shared" si="0"/>
        <v>0</v>
      </c>
      <c r="K11" s="42">
        <f t="shared" si="1"/>
        <v>0</v>
      </c>
    </row>
    <row r="12" spans="2:11" x14ac:dyDescent="0.25">
      <c r="B12" s="16"/>
      <c r="C12" s="16"/>
      <c r="D12" s="31"/>
      <c r="E12" s="32"/>
      <c r="F12" s="31"/>
      <c r="G12" s="33"/>
      <c r="I12" s="40" t="s">
        <v>58</v>
      </c>
      <c r="J12" s="41">
        <f t="shared" si="0"/>
        <v>0</v>
      </c>
      <c r="K12" s="42">
        <f t="shared" si="1"/>
        <v>0</v>
      </c>
    </row>
    <row r="13" spans="2:11" x14ac:dyDescent="0.25">
      <c r="B13" s="16"/>
      <c r="C13" s="16"/>
      <c r="D13" s="31"/>
      <c r="E13" s="32"/>
      <c r="F13" s="31"/>
      <c r="G13" s="33"/>
      <c r="I13" s="40" t="s">
        <v>59</v>
      </c>
      <c r="J13" s="41">
        <f t="shared" si="0"/>
        <v>0</v>
      </c>
      <c r="K13" s="42">
        <f t="shared" si="1"/>
        <v>0</v>
      </c>
    </row>
    <row r="14" spans="2:11" x14ac:dyDescent="0.25">
      <c r="B14" s="29"/>
      <c r="C14" s="29"/>
      <c r="D14" s="34"/>
      <c r="E14" s="35"/>
      <c r="F14" s="34"/>
      <c r="G14" s="36"/>
      <c r="I14" s="40" t="s">
        <v>60</v>
      </c>
      <c r="J14" s="41">
        <f t="shared" si="0"/>
        <v>0</v>
      </c>
      <c r="K14" s="42">
        <f t="shared" si="1"/>
        <v>0</v>
      </c>
    </row>
    <row r="15" spans="2:11" x14ac:dyDescent="0.25">
      <c r="B15" s="30"/>
      <c r="C15" s="30"/>
      <c r="D15" s="37"/>
      <c r="E15" s="38"/>
      <c r="F15" s="37"/>
      <c r="G15" s="39"/>
      <c r="I15" s="40" t="s">
        <v>61</v>
      </c>
      <c r="J15" s="41">
        <f t="shared" si="0"/>
        <v>0</v>
      </c>
      <c r="K15" s="42">
        <f t="shared" si="1"/>
        <v>0</v>
      </c>
    </row>
    <row r="16" spans="2:11" x14ac:dyDescent="0.25">
      <c r="B16" s="30"/>
      <c r="C16" s="30"/>
      <c r="D16" s="37"/>
      <c r="E16" s="38"/>
      <c r="F16" s="37"/>
      <c r="G16" s="39"/>
      <c r="I16" s="40" t="s">
        <v>62</v>
      </c>
      <c r="J16" s="41">
        <f t="shared" si="0"/>
        <v>0</v>
      </c>
      <c r="K16" s="42">
        <f t="shared" si="1"/>
        <v>0</v>
      </c>
    </row>
    <row r="17" spans="2:11" x14ac:dyDescent="0.25">
      <c r="B17" s="30"/>
      <c r="C17" s="30"/>
      <c r="D17" s="37"/>
      <c r="E17" s="38"/>
      <c r="F17" s="37"/>
      <c r="G17" s="39"/>
      <c r="I17" s="40" t="s">
        <v>46</v>
      </c>
      <c r="J17" s="41">
        <f t="shared" si="0"/>
        <v>0</v>
      </c>
      <c r="K17" s="42">
        <f t="shared" si="1"/>
        <v>0</v>
      </c>
    </row>
    <row r="18" spans="2:11" x14ac:dyDescent="0.25">
      <c r="B18" s="30"/>
      <c r="C18" s="30"/>
      <c r="D18" s="37"/>
      <c r="E18" s="38"/>
      <c r="F18" s="37"/>
      <c r="G18" s="39"/>
      <c r="I18" s="40" t="s">
        <v>63</v>
      </c>
      <c r="J18" s="41">
        <f t="shared" si="0"/>
        <v>0</v>
      </c>
      <c r="K18" s="42">
        <f t="shared" si="1"/>
        <v>0</v>
      </c>
    </row>
    <row r="19" spans="2:11" x14ac:dyDescent="0.25">
      <c r="B19" s="30"/>
      <c r="C19" s="30"/>
      <c r="D19" s="37"/>
      <c r="E19" s="38"/>
      <c r="F19" s="37"/>
      <c r="G19" s="39"/>
      <c r="I19" s="40" t="s">
        <v>45</v>
      </c>
      <c r="J19" s="41">
        <f t="shared" si="0"/>
        <v>0</v>
      </c>
      <c r="K19" s="42">
        <f t="shared" si="1"/>
        <v>0</v>
      </c>
    </row>
    <row r="20" spans="2:11" x14ac:dyDescent="0.25">
      <c r="B20" s="30"/>
      <c r="C20" s="30"/>
      <c r="D20" s="37"/>
      <c r="E20" s="38"/>
      <c r="F20" s="37"/>
      <c r="G20" s="39"/>
      <c r="I20" s="40" t="s">
        <v>47</v>
      </c>
      <c r="J20" s="41">
        <f t="shared" si="0"/>
        <v>0</v>
      </c>
      <c r="K20" s="42">
        <f t="shared" si="1"/>
        <v>0</v>
      </c>
    </row>
    <row r="21" spans="2:11" x14ac:dyDescent="0.25">
      <c r="B21" s="30"/>
      <c r="C21" s="30"/>
      <c r="D21" s="37"/>
      <c r="E21" s="38"/>
      <c r="F21" s="37"/>
      <c r="G21" s="39"/>
      <c r="I21" s="5" t="s">
        <v>38</v>
      </c>
      <c r="J21" s="6">
        <f>SUM(J10:J20)</f>
        <v>0</v>
      </c>
      <c r="K21" s="14">
        <f>IF(J21=0,0,J21/J21)</f>
        <v>0</v>
      </c>
    </row>
    <row r="22" spans="2:11" x14ac:dyDescent="0.25">
      <c r="B22" s="30"/>
      <c r="C22" s="30"/>
      <c r="D22" s="37"/>
      <c r="E22" s="38"/>
      <c r="F22" s="37"/>
      <c r="G22" s="39"/>
    </row>
    <row r="23" spans="2:11" x14ac:dyDescent="0.25">
      <c r="B23" s="30"/>
      <c r="C23" s="30"/>
      <c r="D23" s="37"/>
      <c r="E23" s="38"/>
      <c r="F23" s="37"/>
      <c r="G23" s="39"/>
    </row>
    <row r="24" spans="2:11" x14ac:dyDescent="0.25">
      <c r="B24" s="30"/>
      <c r="C24" s="30"/>
      <c r="D24" s="37"/>
      <c r="E24" s="38"/>
      <c r="F24" s="37"/>
      <c r="G24" s="39"/>
    </row>
    <row r="25" spans="2:11" x14ac:dyDescent="0.25">
      <c r="B25" s="30"/>
      <c r="C25" s="30"/>
      <c r="D25" s="37"/>
      <c r="E25" s="38"/>
      <c r="F25" s="37"/>
      <c r="G25" s="39"/>
    </row>
    <row r="26" spans="2:11" x14ac:dyDescent="0.25">
      <c r="B26" s="30"/>
      <c r="C26" s="30"/>
      <c r="D26" s="37"/>
      <c r="E26" s="38"/>
      <c r="F26" s="37"/>
      <c r="G26" s="39"/>
    </row>
    <row r="27" spans="2:11" x14ac:dyDescent="0.25">
      <c r="B27" s="30"/>
      <c r="C27" s="30"/>
      <c r="D27" s="37"/>
      <c r="E27" s="38"/>
      <c r="F27" s="37"/>
      <c r="G27" s="39"/>
    </row>
    <row r="28" spans="2:11" x14ac:dyDescent="0.25">
      <c r="B28" s="30"/>
      <c r="C28" s="30"/>
      <c r="D28" s="37"/>
      <c r="E28" s="38"/>
      <c r="F28" s="37"/>
      <c r="G28" s="39"/>
    </row>
    <row r="29" spans="2:11" x14ac:dyDescent="0.25">
      <c r="B29" s="30"/>
      <c r="C29" s="30"/>
      <c r="D29" s="37"/>
      <c r="E29" s="38"/>
      <c r="F29" s="37"/>
      <c r="G29" s="39"/>
    </row>
    <row r="30" spans="2:11" x14ac:dyDescent="0.25">
      <c r="B30" s="30"/>
      <c r="C30" s="30"/>
      <c r="D30" s="37"/>
      <c r="E30" s="38"/>
      <c r="F30" s="37"/>
      <c r="G30" s="39"/>
    </row>
    <row r="31" spans="2:11" x14ac:dyDescent="0.25">
      <c r="B31" s="30"/>
      <c r="C31" s="30"/>
      <c r="D31" s="37"/>
      <c r="E31" s="38"/>
      <c r="F31" s="37"/>
      <c r="G31" s="39"/>
    </row>
    <row r="32" spans="2:11" x14ac:dyDescent="0.25">
      <c r="B32" s="30"/>
      <c r="C32" s="30"/>
      <c r="D32" s="37"/>
      <c r="E32" s="38"/>
      <c r="F32" s="37"/>
      <c r="G32" s="39"/>
    </row>
    <row r="33" spans="2:7" x14ac:dyDescent="0.25">
      <c r="B33" s="30"/>
      <c r="C33" s="30"/>
      <c r="D33" s="37"/>
      <c r="E33" s="38"/>
      <c r="F33" s="37"/>
      <c r="G33" s="39"/>
    </row>
    <row r="34" spans="2:7" x14ac:dyDescent="0.25">
      <c r="B34" s="30"/>
      <c r="C34" s="30"/>
      <c r="D34" s="37"/>
      <c r="E34" s="38"/>
      <c r="F34" s="37"/>
      <c r="G34" s="39"/>
    </row>
    <row r="35" spans="2:7" x14ac:dyDescent="0.25">
      <c r="B35" s="30"/>
      <c r="C35" s="30"/>
      <c r="D35" s="37"/>
      <c r="E35" s="38"/>
      <c r="F35" s="37"/>
      <c r="G35" s="39"/>
    </row>
    <row r="36" spans="2:7" x14ac:dyDescent="0.25">
      <c r="B36" s="30"/>
      <c r="C36" s="30"/>
      <c r="D36" s="37"/>
      <c r="E36" s="38"/>
      <c r="F36" s="37"/>
      <c r="G36" s="39"/>
    </row>
    <row r="37" spans="2:7" x14ac:dyDescent="0.25">
      <c r="B37" s="30"/>
      <c r="C37" s="30"/>
      <c r="D37" s="37"/>
      <c r="E37" s="38"/>
      <c r="F37" s="37"/>
      <c r="G37" s="39"/>
    </row>
    <row r="38" spans="2:7" x14ac:dyDescent="0.25">
      <c r="B38" s="30"/>
      <c r="C38" s="30"/>
      <c r="D38" s="37"/>
      <c r="E38" s="38"/>
      <c r="F38" s="37"/>
      <c r="G38" s="39"/>
    </row>
    <row r="39" spans="2:7" x14ac:dyDescent="0.25">
      <c r="B39" s="30"/>
      <c r="C39" s="30"/>
      <c r="D39" s="37"/>
      <c r="E39" s="38"/>
      <c r="F39" s="37"/>
      <c r="G39" s="39"/>
    </row>
    <row r="40" spans="2:7" x14ac:dyDescent="0.25">
      <c r="B40" s="30"/>
      <c r="C40" s="30"/>
      <c r="D40" s="37"/>
      <c r="E40" s="38"/>
      <c r="F40" s="37"/>
      <c r="G40" s="39"/>
    </row>
    <row r="41" spans="2:7" x14ac:dyDescent="0.25">
      <c r="B41" s="30"/>
      <c r="C41" s="30"/>
      <c r="D41" s="37"/>
      <c r="E41" s="38"/>
      <c r="F41" s="37"/>
      <c r="G41" s="39"/>
    </row>
    <row r="42" spans="2:7" x14ac:dyDescent="0.25">
      <c r="B42" s="30"/>
      <c r="C42" s="30"/>
      <c r="D42" s="37"/>
      <c r="E42" s="38"/>
      <c r="F42" s="37"/>
      <c r="G42" s="39"/>
    </row>
    <row r="43" spans="2:7" x14ac:dyDescent="0.25">
      <c r="B43" s="30"/>
      <c r="C43" s="30"/>
      <c r="D43" s="37"/>
      <c r="E43" s="38"/>
      <c r="F43" s="37"/>
      <c r="G43" s="39"/>
    </row>
    <row r="44" spans="2:7" x14ac:dyDescent="0.25">
      <c r="B44" s="30"/>
      <c r="C44" s="30"/>
      <c r="D44" s="37"/>
      <c r="E44" s="38"/>
      <c r="F44" s="37"/>
      <c r="G44" s="39"/>
    </row>
    <row r="45" spans="2:7" x14ac:dyDescent="0.25">
      <c r="B45" s="30"/>
      <c r="C45" s="30"/>
      <c r="D45" s="37"/>
      <c r="E45" s="38"/>
      <c r="F45" s="37"/>
      <c r="G45" s="39"/>
    </row>
    <row r="46" spans="2:7" x14ac:dyDescent="0.25">
      <c r="B46" s="30"/>
      <c r="C46" s="30"/>
      <c r="D46" s="37"/>
      <c r="E46" s="38"/>
      <c r="F46" s="37"/>
      <c r="G46" s="39"/>
    </row>
    <row r="47" spans="2:7" x14ac:dyDescent="0.25">
      <c r="B47" s="30"/>
      <c r="C47" s="30"/>
      <c r="D47" s="37"/>
      <c r="E47" s="38"/>
      <c r="F47" s="37"/>
      <c r="G47" s="39"/>
    </row>
    <row r="48" spans="2:7" x14ac:dyDescent="0.25">
      <c r="B48" s="30"/>
      <c r="C48" s="30"/>
      <c r="D48" s="37"/>
      <c r="E48" s="38"/>
      <c r="F48" s="37"/>
      <c r="G48" s="39"/>
    </row>
    <row r="49" spans="2:7" x14ac:dyDescent="0.25">
      <c r="B49" s="30"/>
      <c r="C49" s="30"/>
      <c r="D49" s="37"/>
      <c r="E49" s="38"/>
      <c r="F49" s="37"/>
      <c r="G49" s="39"/>
    </row>
    <row r="50" spans="2:7" x14ac:dyDescent="0.25">
      <c r="B50" s="30"/>
      <c r="C50" s="30"/>
      <c r="D50" s="37"/>
      <c r="E50" s="38"/>
      <c r="F50" s="37"/>
      <c r="G50" s="39"/>
    </row>
    <row r="51" spans="2:7" x14ac:dyDescent="0.25">
      <c r="B51" s="30"/>
      <c r="C51" s="30"/>
      <c r="D51" s="37"/>
      <c r="E51" s="38"/>
      <c r="F51" s="37"/>
      <c r="G51" s="39"/>
    </row>
    <row r="52" spans="2:7" x14ac:dyDescent="0.25">
      <c r="B52" s="30"/>
      <c r="C52" s="30"/>
      <c r="D52" s="37"/>
      <c r="E52" s="38"/>
      <c r="F52" s="37"/>
      <c r="G52" s="39"/>
    </row>
    <row r="53" spans="2:7" x14ac:dyDescent="0.25">
      <c r="B53" s="30"/>
      <c r="C53" s="30"/>
      <c r="D53" s="37"/>
      <c r="E53" s="38"/>
      <c r="F53" s="37"/>
      <c r="G53" s="39"/>
    </row>
    <row r="54" spans="2:7" x14ac:dyDescent="0.25">
      <c r="B54" s="30"/>
      <c r="C54" s="30"/>
      <c r="D54" s="37"/>
      <c r="E54" s="38"/>
      <c r="F54" s="37"/>
      <c r="G54" s="39"/>
    </row>
    <row r="55" spans="2:7" x14ac:dyDescent="0.25">
      <c r="B55" s="30"/>
      <c r="C55" s="30"/>
      <c r="D55" s="37"/>
      <c r="E55" s="38"/>
      <c r="F55" s="37"/>
      <c r="G55" s="39"/>
    </row>
    <row r="56" spans="2:7" x14ac:dyDescent="0.25">
      <c r="B56" s="30"/>
      <c r="C56" s="30"/>
      <c r="D56" s="37"/>
      <c r="E56" s="38"/>
      <c r="F56" s="37"/>
      <c r="G56" s="39"/>
    </row>
    <row r="57" spans="2:7" x14ac:dyDescent="0.25">
      <c r="B57" s="30"/>
      <c r="C57" s="30"/>
      <c r="D57" s="37"/>
      <c r="E57" s="38"/>
      <c r="F57" s="37"/>
      <c r="G57" s="39"/>
    </row>
    <row r="58" spans="2:7" x14ac:dyDescent="0.25">
      <c r="B58" s="30"/>
      <c r="C58" s="30"/>
      <c r="D58" s="37"/>
      <c r="E58" s="38"/>
      <c r="F58" s="37"/>
      <c r="G58" s="39"/>
    </row>
    <row r="59" spans="2:7" x14ac:dyDescent="0.25">
      <c r="B59" s="30"/>
      <c r="C59" s="30"/>
      <c r="D59" s="37"/>
      <c r="E59" s="38"/>
      <c r="F59" s="37"/>
      <c r="G59" s="39"/>
    </row>
    <row r="60" spans="2:7" x14ac:dyDescent="0.25">
      <c r="B60" s="30"/>
      <c r="C60" s="30"/>
      <c r="D60" s="37"/>
      <c r="E60" s="38"/>
      <c r="F60" s="37"/>
      <c r="G60" s="39"/>
    </row>
    <row r="61" spans="2:7" x14ac:dyDescent="0.25">
      <c r="B61" s="30"/>
      <c r="C61" s="30"/>
      <c r="D61" s="37"/>
      <c r="E61" s="38"/>
      <c r="F61" s="37"/>
      <c r="G61" s="39"/>
    </row>
    <row r="62" spans="2:7" x14ac:dyDescent="0.25">
      <c r="B62" s="30"/>
      <c r="C62" s="30"/>
      <c r="D62" s="37"/>
      <c r="E62" s="38"/>
      <c r="F62" s="37"/>
      <c r="G62" s="39"/>
    </row>
    <row r="63" spans="2:7" x14ac:dyDescent="0.25">
      <c r="B63" s="30"/>
      <c r="C63" s="30"/>
      <c r="D63" s="37"/>
      <c r="E63" s="38"/>
      <c r="F63" s="37"/>
      <c r="G63" s="39"/>
    </row>
    <row r="64" spans="2:7" x14ac:dyDescent="0.25">
      <c r="B64" s="30"/>
      <c r="C64" s="30"/>
      <c r="D64" s="37"/>
      <c r="E64" s="38"/>
      <c r="F64" s="37"/>
      <c r="G64" s="39"/>
    </row>
    <row r="65" spans="2:7" x14ac:dyDescent="0.25">
      <c r="B65" s="30"/>
      <c r="C65" s="30"/>
      <c r="D65" s="37"/>
      <c r="E65" s="38"/>
      <c r="F65" s="37"/>
      <c r="G65" s="39"/>
    </row>
    <row r="66" spans="2:7" x14ac:dyDescent="0.25">
      <c r="B66" s="30"/>
      <c r="C66" s="30"/>
      <c r="D66" s="37"/>
      <c r="E66" s="38"/>
      <c r="F66" s="37"/>
      <c r="G66" s="39"/>
    </row>
    <row r="67" spans="2:7" x14ac:dyDescent="0.25">
      <c r="B67" s="30"/>
      <c r="C67" s="30"/>
      <c r="D67" s="37"/>
      <c r="E67" s="38"/>
      <c r="F67" s="37"/>
      <c r="G67" s="39"/>
    </row>
    <row r="68" spans="2:7" x14ac:dyDescent="0.25">
      <c r="B68" s="30"/>
      <c r="C68" s="30"/>
      <c r="D68" s="37"/>
      <c r="E68" s="38"/>
      <c r="F68" s="37"/>
      <c r="G68" s="39"/>
    </row>
    <row r="69" spans="2:7" x14ac:dyDescent="0.25">
      <c r="B69" s="30"/>
      <c r="C69" s="30"/>
      <c r="D69" s="37"/>
      <c r="E69" s="38"/>
      <c r="F69" s="37"/>
      <c r="G69" s="39"/>
    </row>
    <row r="70" spans="2:7" x14ac:dyDescent="0.25">
      <c r="B70" s="30"/>
      <c r="C70" s="30"/>
      <c r="D70" s="37"/>
      <c r="E70" s="38"/>
      <c r="F70" s="37"/>
      <c r="G70" s="39"/>
    </row>
    <row r="71" spans="2:7" x14ac:dyDescent="0.25">
      <c r="B71" s="30"/>
      <c r="C71" s="30"/>
      <c r="D71" s="37"/>
      <c r="E71" s="38"/>
      <c r="F71" s="37"/>
      <c r="G71" s="39"/>
    </row>
    <row r="72" spans="2:7" x14ac:dyDescent="0.25">
      <c r="B72" s="30"/>
      <c r="C72" s="30"/>
      <c r="D72" s="37"/>
      <c r="E72" s="38"/>
      <c r="F72" s="37"/>
      <c r="G72" s="39"/>
    </row>
    <row r="73" spans="2:7" x14ac:dyDescent="0.25">
      <c r="B73" s="30"/>
      <c r="C73" s="30"/>
      <c r="D73" s="37"/>
      <c r="E73" s="38"/>
      <c r="F73" s="37"/>
      <c r="G73" s="39"/>
    </row>
    <row r="74" spans="2:7" x14ac:dyDescent="0.25">
      <c r="B74" s="30"/>
      <c r="C74" s="30"/>
      <c r="D74" s="37"/>
      <c r="E74" s="38"/>
      <c r="F74" s="37"/>
      <c r="G74" s="39"/>
    </row>
    <row r="75" spans="2:7" x14ac:dyDescent="0.25">
      <c r="B75" s="30"/>
      <c r="C75" s="30"/>
      <c r="D75" s="37"/>
      <c r="E75" s="38"/>
      <c r="F75" s="37"/>
      <c r="G75" s="39"/>
    </row>
    <row r="76" spans="2:7" x14ac:dyDescent="0.25">
      <c r="B76" s="30"/>
      <c r="C76" s="30"/>
      <c r="D76" s="37"/>
      <c r="E76" s="38"/>
      <c r="F76" s="37"/>
      <c r="G76" s="39"/>
    </row>
    <row r="77" spans="2:7" x14ac:dyDescent="0.25">
      <c r="B77" s="30"/>
      <c r="C77" s="30"/>
      <c r="D77" s="37"/>
      <c r="E77" s="38"/>
      <c r="F77" s="37"/>
      <c r="G77" s="39"/>
    </row>
    <row r="78" spans="2:7" x14ac:dyDescent="0.25">
      <c r="B78" s="30"/>
      <c r="C78" s="30"/>
      <c r="D78" s="37"/>
      <c r="E78" s="38"/>
      <c r="F78" s="37"/>
      <c r="G78" s="39"/>
    </row>
    <row r="79" spans="2:7" x14ac:dyDescent="0.25">
      <c r="B79" s="30"/>
      <c r="C79" s="30"/>
      <c r="D79" s="37"/>
      <c r="E79" s="38"/>
      <c r="F79" s="37"/>
      <c r="G79" s="39"/>
    </row>
    <row r="80" spans="2:7" x14ac:dyDescent="0.25">
      <c r="B80" s="30"/>
      <c r="C80" s="30"/>
      <c r="D80" s="37"/>
      <c r="E80" s="38"/>
      <c r="F80" s="37"/>
      <c r="G80" s="39"/>
    </row>
    <row r="81" spans="2:7" x14ac:dyDescent="0.25">
      <c r="B81" s="30"/>
      <c r="C81" s="30"/>
      <c r="D81" s="37"/>
      <c r="E81" s="38"/>
      <c r="F81" s="37"/>
      <c r="G81" s="39"/>
    </row>
    <row r="82" spans="2:7" x14ac:dyDescent="0.25">
      <c r="B82" s="30"/>
      <c r="C82" s="30"/>
      <c r="D82" s="37"/>
      <c r="E82" s="38"/>
      <c r="F82" s="37"/>
      <c r="G82" s="39"/>
    </row>
    <row r="83" spans="2:7" x14ac:dyDescent="0.25">
      <c r="B83" s="30"/>
      <c r="C83" s="30"/>
      <c r="D83" s="37"/>
      <c r="E83" s="38"/>
      <c r="F83" s="37"/>
      <c r="G83" s="39"/>
    </row>
    <row r="84" spans="2:7" x14ac:dyDescent="0.25">
      <c r="B84" s="30"/>
      <c r="C84" s="30"/>
      <c r="D84" s="37"/>
      <c r="E84" s="38"/>
      <c r="F84" s="37"/>
      <c r="G84" s="39"/>
    </row>
    <row r="85" spans="2:7" x14ac:dyDescent="0.25">
      <c r="B85" s="30"/>
      <c r="C85" s="30"/>
      <c r="D85" s="37"/>
      <c r="E85" s="38"/>
      <c r="F85" s="37"/>
      <c r="G85" s="39"/>
    </row>
    <row r="86" spans="2:7" x14ac:dyDescent="0.25">
      <c r="B86" s="30"/>
      <c r="C86" s="30"/>
      <c r="D86" s="37"/>
      <c r="E86" s="38"/>
      <c r="F86" s="37"/>
      <c r="G86" s="39"/>
    </row>
    <row r="87" spans="2:7" x14ac:dyDescent="0.25">
      <c r="B87" s="30"/>
      <c r="C87" s="30"/>
      <c r="D87" s="37"/>
      <c r="E87" s="38"/>
      <c r="F87" s="37"/>
      <c r="G87" s="39"/>
    </row>
    <row r="88" spans="2:7" x14ac:dyDescent="0.25">
      <c r="B88" s="30"/>
      <c r="C88" s="30"/>
      <c r="D88" s="37"/>
      <c r="E88" s="38"/>
      <c r="F88" s="37"/>
      <c r="G88" s="39"/>
    </row>
    <row r="89" spans="2:7" x14ac:dyDescent="0.25">
      <c r="B89" s="30"/>
      <c r="C89" s="30"/>
      <c r="D89" s="37"/>
      <c r="E89" s="38"/>
      <c r="F89" s="37"/>
      <c r="G89" s="39"/>
    </row>
    <row r="90" spans="2:7" x14ac:dyDescent="0.25">
      <c r="B90" s="30"/>
      <c r="C90" s="30"/>
      <c r="D90" s="37"/>
      <c r="E90" s="38"/>
      <c r="F90" s="37"/>
      <c r="G90" s="39"/>
    </row>
    <row r="91" spans="2:7" x14ac:dyDescent="0.25">
      <c r="B91" s="30"/>
      <c r="C91" s="30"/>
      <c r="D91" s="37"/>
      <c r="E91" s="38"/>
      <c r="F91" s="37"/>
      <c r="G91" s="39"/>
    </row>
    <row r="92" spans="2:7" x14ac:dyDescent="0.25">
      <c r="B92" s="30"/>
      <c r="C92" s="30"/>
      <c r="D92" s="37"/>
      <c r="E92" s="38"/>
      <c r="F92" s="37"/>
      <c r="G92" s="39"/>
    </row>
    <row r="93" spans="2:7" x14ac:dyDescent="0.25">
      <c r="B93" s="30"/>
      <c r="C93" s="25"/>
      <c r="D93" s="26"/>
      <c r="E93" s="27"/>
      <c r="F93" s="26"/>
      <c r="G93" s="28"/>
    </row>
    <row r="94" spans="2:7" x14ac:dyDescent="0.25">
      <c r="B94" s="30"/>
      <c r="C94" s="12"/>
      <c r="D94" s="10"/>
      <c r="E94" s="15"/>
      <c r="F94" s="10"/>
      <c r="G94" s="11"/>
    </row>
    <row r="95" spans="2:7" x14ac:dyDescent="0.25">
      <c r="B95" s="30"/>
      <c r="C95" s="12"/>
      <c r="D95" s="10"/>
      <c r="E95" s="15"/>
      <c r="F95" s="10"/>
      <c r="G95" s="11"/>
    </row>
    <row r="96" spans="2:7" x14ac:dyDescent="0.25">
      <c r="B96" s="30"/>
      <c r="C96" s="12"/>
      <c r="D96" s="10"/>
      <c r="E96" s="15"/>
      <c r="F96" s="10"/>
      <c r="G96" s="11"/>
    </row>
    <row r="97" spans="2:7" x14ac:dyDescent="0.25">
      <c r="B97" s="30"/>
      <c r="C97" s="12"/>
      <c r="D97" s="10"/>
      <c r="E97" s="15"/>
      <c r="F97" s="10"/>
      <c r="G97" s="11"/>
    </row>
    <row r="98" spans="2:7" x14ac:dyDescent="0.25">
      <c r="B98" s="30"/>
      <c r="C98" s="12"/>
      <c r="D98" s="10"/>
      <c r="E98" s="15"/>
      <c r="F98" s="10"/>
      <c r="G98" s="11"/>
    </row>
    <row r="99" spans="2:7" x14ac:dyDescent="0.25">
      <c r="B99" s="30"/>
      <c r="C99" s="12"/>
      <c r="D99" s="10"/>
      <c r="E99" s="15"/>
      <c r="F99" s="10"/>
      <c r="G99" s="11"/>
    </row>
    <row r="100" spans="2:7" x14ac:dyDescent="0.25">
      <c r="B100" s="30"/>
      <c r="C100" s="12"/>
      <c r="D100" s="10"/>
      <c r="E100" s="15"/>
      <c r="F100" s="10"/>
      <c r="G100" s="11"/>
    </row>
    <row r="101" spans="2:7" x14ac:dyDescent="0.25">
      <c r="B101" s="30"/>
      <c r="C101" s="12"/>
      <c r="D101" s="10"/>
      <c r="E101" s="15"/>
      <c r="F101" s="10"/>
      <c r="G101" s="11"/>
    </row>
    <row r="102" spans="2:7" x14ac:dyDescent="0.25">
      <c r="B102" s="30"/>
      <c r="C102" s="12"/>
      <c r="D102" s="10"/>
      <c r="E102" s="15"/>
      <c r="F102" s="10"/>
      <c r="G102" s="11"/>
    </row>
    <row r="103" spans="2:7" x14ac:dyDescent="0.25">
      <c r="B103" s="30"/>
      <c r="C103" s="12"/>
      <c r="D103" s="10"/>
      <c r="E103" s="15"/>
      <c r="F103" s="10"/>
      <c r="G103" s="11"/>
    </row>
    <row r="104" spans="2:7" x14ac:dyDescent="0.25">
      <c r="B104" s="30"/>
      <c r="C104" s="12"/>
      <c r="D104" s="10"/>
      <c r="E104" s="15"/>
      <c r="F104" s="10"/>
      <c r="G104" s="11"/>
    </row>
    <row r="105" spans="2:7" x14ac:dyDescent="0.25">
      <c r="B105" s="30"/>
      <c r="C105" s="12"/>
      <c r="D105" s="10"/>
      <c r="E105" s="15"/>
      <c r="F105" s="10"/>
      <c r="G105" s="11"/>
    </row>
    <row r="106" spans="2:7" x14ac:dyDescent="0.25">
      <c r="B106" s="30"/>
      <c r="C106" s="12"/>
      <c r="D106" s="10"/>
      <c r="E106" s="15"/>
      <c r="F106" s="10"/>
      <c r="G106" s="11"/>
    </row>
    <row r="107" spans="2:7" x14ac:dyDescent="0.25">
      <c r="B107" s="30"/>
      <c r="C107" s="12"/>
      <c r="D107" s="10"/>
      <c r="E107" s="15"/>
      <c r="F107" s="10"/>
      <c r="G107" s="11"/>
    </row>
    <row r="108" spans="2:7" x14ac:dyDescent="0.25">
      <c r="B108" s="30"/>
      <c r="C108" s="12"/>
      <c r="D108" s="10"/>
      <c r="E108" s="15"/>
      <c r="F108" s="10"/>
      <c r="G108" s="11"/>
    </row>
    <row r="109" spans="2:7" x14ac:dyDescent="0.25">
      <c r="B109" s="30"/>
      <c r="C109" s="12"/>
      <c r="D109" s="10"/>
      <c r="E109" s="15"/>
      <c r="F109" s="10"/>
      <c r="G109" s="11"/>
    </row>
    <row r="110" spans="2:7" x14ac:dyDescent="0.25">
      <c r="B110" s="5" t="s">
        <v>38</v>
      </c>
      <c r="C110" s="5" t="s">
        <v>38</v>
      </c>
      <c r="D110" s="5"/>
      <c r="E110" s="5"/>
      <c r="F110" s="5"/>
      <c r="G110" s="6">
        <f>SUM(G10:G109)</f>
        <v>0</v>
      </c>
    </row>
  </sheetData>
  <autoFilter ref="B9:G93" xr:uid="{00000000-0001-0000-0200-000000000000}"/>
  <mergeCells count="3">
    <mergeCell ref="B1:K1"/>
    <mergeCell ref="B8:G8"/>
    <mergeCell ref="I8:K8"/>
  </mergeCells>
  <dataValidations count="1">
    <dataValidation type="list" allowBlank="1" showInputMessage="1" showErrorMessage="1" sqref="F10:F109" xr:uid="{ECD778D3-EE3F-4F62-A09B-902BBCC464A8}">
      <formula1>$I$10:$I$20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3B1C31-E390-45E3-B40A-8648C483140C}">
          <x14:formula1>
            <xm:f>Resumo!$B$6:$B$17</xm:f>
          </x14:formula1>
          <xm:sqref>D2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FC19B-4421-4AFB-AA3B-46D7B3376420}">
  <sheetPr>
    <tabColor theme="3"/>
  </sheetPr>
  <dimension ref="A1:M61"/>
  <sheetViews>
    <sheetView showGridLines="0" zoomScaleNormal="100" workbookViewId="0">
      <selection activeCell="L26" sqref="L26"/>
    </sheetView>
  </sheetViews>
  <sheetFormatPr defaultColWidth="8.7109375" defaultRowHeight="15" x14ac:dyDescent="0.25"/>
  <cols>
    <col min="1" max="1" width="2" customWidth="1"/>
    <col min="2" max="2" width="22" customWidth="1"/>
    <col min="3" max="3" width="14" customWidth="1"/>
    <col min="4" max="4" width="4" customWidth="1"/>
    <col min="5" max="5" width="11" style="18" customWidth="1"/>
    <col min="6" max="6" width="26" customWidth="1"/>
    <col min="7" max="7" width="25.7109375" bestFit="1" customWidth="1"/>
    <col min="8" max="8" width="12" customWidth="1"/>
    <col min="9" max="9" width="12.7109375" customWidth="1"/>
    <col min="10" max="10" width="2" customWidth="1"/>
    <col min="11" max="11" width="26" customWidth="1"/>
    <col min="12" max="12" width="13" customWidth="1"/>
    <col min="13" max="13" width="9.7109375" customWidth="1"/>
  </cols>
  <sheetData>
    <row r="1" spans="1:13" ht="24" customHeight="1" x14ac:dyDescent="0.25">
      <c r="B1" s="45" t="s">
        <v>25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x14ac:dyDescent="0.25">
      <c r="B2" s="7" t="s">
        <v>26</v>
      </c>
      <c r="C2" s="9" t="s">
        <v>9</v>
      </c>
      <c r="D2" s="8" t="s">
        <v>27</v>
      </c>
    </row>
    <row r="4" spans="1:13" x14ac:dyDescent="0.25">
      <c r="B4" s="5" t="s">
        <v>28</v>
      </c>
      <c r="C4" s="6">
        <f>C21</f>
        <v>0</v>
      </c>
      <c r="G4" s="5" t="s">
        <v>71</v>
      </c>
      <c r="H4" s="6">
        <f>SUMIF($I$11:$I$60,"Pago",$H$11:$H$60)</f>
        <v>0</v>
      </c>
    </row>
    <row r="5" spans="1:13" x14ac:dyDescent="0.25">
      <c r="B5" s="5" t="s">
        <v>29</v>
      </c>
      <c r="C5" s="6">
        <f>L20</f>
        <v>0</v>
      </c>
      <c r="G5" s="5" t="s">
        <v>72</v>
      </c>
      <c r="H5" s="6">
        <f>SUMIF($I$11:$I$60,"Não pago",$H$11:$H$60)</f>
        <v>0</v>
      </c>
    </row>
    <row r="6" spans="1:13" x14ac:dyDescent="0.25">
      <c r="B6" s="5" t="s">
        <v>30</v>
      </c>
      <c r="C6" s="6">
        <f>C4-C5</f>
        <v>0</v>
      </c>
    </row>
    <row r="8" spans="1:13" x14ac:dyDescent="0.25">
      <c r="A8" s="18"/>
      <c r="B8" s="18"/>
      <c r="C8" s="18"/>
      <c r="D8" s="18"/>
    </row>
    <row r="9" spans="1:13" ht="16.5" x14ac:dyDescent="0.25">
      <c r="B9" s="45" t="s">
        <v>31</v>
      </c>
      <c r="C9" s="45"/>
      <c r="E9" s="45" t="s">
        <v>32</v>
      </c>
      <c r="F9" s="45"/>
      <c r="G9" s="45"/>
      <c r="H9" s="45"/>
      <c r="I9" s="45"/>
      <c r="K9" s="45" t="s">
        <v>33</v>
      </c>
      <c r="L9" s="45"/>
      <c r="M9" s="45"/>
    </row>
    <row r="10" spans="1:13" x14ac:dyDescent="0.25">
      <c r="B10" s="1" t="s">
        <v>34</v>
      </c>
      <c r="C10" s="1" t="s">
        <v>35</v>
      </c>
      <c r="E10" s="17" t="s">
        <v>36</v>
      </c>
      <c r="F10" s="1" t="s">
        <v>34</v>
      </c>
      <c r="G10" s="1" t="s">
        <v>37</v>
      </c>
      <c r="H10" s="1" t="s">
        <v>35</v>
      </c>
      <c r="I10" s="1" t="s">
        <v>70</v>
      </c>
      <c r="K10" s="1" t="s">
        <v>37</v>
      </c>
      <c r="L10" s="1" t="s">
        <v>38</v>
      </c>
      <c r="M10" s="1" t="s">
        <v>39</v>
      </c>
    </row>
    <row r="11" spans="1:13" x14ac:dyDescent="0.25">
      <c r="B11" s="10"/>
      <c r="C11" s="11"/>
      <c r="E11" s="16"/>
      <c r="F11" s="10"/>
      <c r="G11" s="10"/>
      <c r="H11" s="20"/>
      <c r="I11" s="23"/>
      <c r="K11" s="21" t="s">
        <v>40</v>
      </c>
      <c r="L11" s="4">
        <f t="shared" ref="L11:L18" si="0">SUMIF($G$11:$G$60,K11,$H$11:$H$60)</f>
        <v>0</v>
      </c>
      <c r="M11" s="13">
        <f t="shared" ref="M11:M18" si="1">IF($L$20=0,0,L11/$L$20)</f>
        <v>0</v>
      </c>
    </row>
    <row r="12" spans="1:13" x14ac:dyDescent="0.25">
      <c r="B12" s="10"/>
      <c r="C12" s="11"/>
      <c r="E12" s="16"/>
      <c r="F12" s="10"/>
      <c r="G12" s="10"/>
      <c r="H12" s="20"/>
      <c r="I12" s="23"/>
      <c r="K12" s="21" t="s">
        <v>41</v>
      </c>
      <c r="L12" s="4">
        <f t="shared" si="0"/>
        <v>0</v>
      </c>
      <c r="M12" s="13">
        <f t="shared" si="1"/>
        <v>0</v>
      </c>
    </row>
    <row r="13" spans="1:13" x14ac:dyDescent="0.25">
      <c r="B13" s="10"/>
      <c r="C13" s="11"/>
      <c r="E13" s="16"/>
      <c r="F13" s="10"/>
      <c r="G13" s="10"/>
      <c r="H13" s="20"/>
      <c r="I13" s="23"/>
      <c r="K13" s="21" t="s">
        <v>42</v>
      </c>
      <c r="L13" s="4">
        <f t="shared" si="0"/>
        <v>0</v>
      </c>
      <c r="M13" s="13">
        <f t="shared" si="1"/>
        <v>0</v>
      </c>
    </row>
    <row r="14" spans="1:13" x14ac:dyDescent="0.25">
      <c r="B14" s="10"/>
      <c r="C14" s="11"/>
      <c r="E14" s="16"/>
      <c r="F14" s="10"/>
      <c r="G14" s="10"/>
      <c r="H14" s="20"/>
      <c r="I14" s="23"/>
      <c r="K14" s="21" t="s">
        <v>43</v>
      </c>
      <c r="L14" s="4">
        <f t="shared" si="0"/>
        <v>0</v>
      </c>
      <c r="M14" s="13">
        <f t="shared" si="1"/>
        <v>0</v>
      </c>
    </row>
    <row r="15" spans="1:13" x14ac:dyDescent="0.25">
      <c r="B15" s="10"/>
      <c r="C15" s="11"/>
      <c r="E15" s="16"/>
      <c r="F15" s="10"/>
      <c r="G15" s="10"/>
      <c r="H15" s="20"/>
      <c r="I15" s="23"/>
      <c r="K15" s="21" t="s">
        <v>44</v>
      </c>
      <c r="L15" s="4">
        <f t="shared" si="0"/>
        <v>0</v>
      </c>
      <c r="M15" s="13">
        <f t="shared" si="1"/>
        <v>0</v>
      </c>
    </row>
    <row r="16" spans="1:13" x14ac:dyDescent="0.25">
      <c r="B16" s="10"/>
      <c r="C16" s="11"/>
      <c r="E16" s="16"/>
      <c r="F16" s="10"/>
      <c r="G16" s="10"/>
      <c r="H16" s="20"/>
      <c r="I16" s="23"/>
      <c r="K16" s="21" t="s">
        <v>45</v>
      </c>
      <c r="L16" s="4">
        <f t="shared" si="0"/>
        <v>0</v>
      </c>
      <c r="M16" s="13">
        <f t="shared" si="1"/>
        <v>0</v>
      </c>
    </row>
    <row r="17" spans="2:13" x14ac:dyDescent="0.25">
      <c r="B17" s="10"/>
      <c r="C17" s="11"/>
      <c r="E17" s="16"/>
      <c r="F17" s="10"/>
      <c r="G17" s="10"/>
      <c r="H17" s="20"/>
      <c r="I17" s="23"/>
      <c r="K17" s="21" t="s">
        <v>46</v>
      </c>
      <c r="L17" s="4">
        <f t="shared" si="0"/>
        <v>0</v>
      </c>
      <c r="M17" s="13">
        <f t="shared" si="1"/>
        <v>0</v>
      </c>
    </row>
    <row r="18" spans="2:13" x14ac:dyDescent="0.25">
      <c r="B18" s="10"/>
      <c r="C18" s="11"/>
      <c r="E18" s="16"/>
      <c r="F18" s="10"/>
      <c r="G18" s="10"/>
      <c r="H18" s="20"/>
      <c r="I18" s="23"/>
      <c r="K18" s="21" t="s">
        <v>47</v>
      </c>
      <c r="L18" s="4">
        <f t="shared" si="0"/>
        <v>0</v>
      </c>
      <c r="M18" s="13">
        <f t="shared" si="1"/>
        <v>0</v>
      </c>
    </row>
    <row r="19" spans="2:13" x14ac:dyDescent="0.25">
      <c r="B19" s="10"/>
      <c r="C19" s="11"/>
      <c r="E19" s="16"/>
      <c r="F19" s="10"/>
      <c r="G19" s="10"/>
      <c r="H19" s="20"/>
      <c r="I19" s="23"/>
      <c r="K19" s="21" t="s">
        <v>48</v>
      </c>
      <c r="L19" s="3">
        <f>IFERROR('Março-Cartão'!D4,0)</f>
        <v>0</v>
      </c>
      <c r="M19" s="13">
        <f>IF($L$20=0,0,L19/$L$20)</f>
        <v>0</v>
      </c>
    </row>
    <row r="20" spans="2:13" x14ac:dyDescent="0.25">
      <c r="B20" s="10"/>
      <c r="C20" s="11"/>
      <c r="E20" s="16"/>
      <c r="F20" s="10"/>
      <c r="G20" s="10"/>
      <c r="H20" s="20"/>
      <c r="I20" s="23"/>
      <c r="K20" s="22" t="s">
        <v>38</v>
      </c>
      <c r="L20" s="6">
        <f>SUM(L11:L19)</f>
        <v>0</v>
      </c>
      <c r="M20" s="14">
        <f>IF(L20=0,0,L20/L20)</f>
        <v>0</v>
      </c>
    </row>
    <row r="21" spans="2:13" x14ac:dyDescent="0.25">
      <c r="B21" s="5" t="s">
        <v>38</v>
      </c>
      <c r="C21" s="6">
        <f>SUM(C11:C20)</f>
        <v>0</v>
      </c>
      <c r="E21" s="16"/>
      <c r="F21" s="10"/>
      <c r="G21" s="10"/>
      <c r="H21" s="20"/>
      <c r="I21" s="23"/>
    </row>
    <row r="22" spans="2:13" x14ac:dyDescent="0.25">
      <c r="E22" s="16"/>
      <c r="F22" s="10"/>
      <c r="G22" s="10"/>
      <c r="H22" s="20"/>
      <c r="I22" s="23"/>
      <c r="K22" s="44" t="s">
        <v>49</v>
      </c>
      <c r="L22" s="44"/>
      <c r="M22" s="44"/>
    </row>
    <row r="23" spans="2:13" x14ac:dyDescent="0.25">
      <c r="E23" s="16"/>
      <c r="F23" s="10"/>
      <c r="G23" s="10"/>
      <c r="H23" s="20"/>
      <c r="I23" s="23"/>
      <c r="K23" s="44"/>
      <c r="L23" s="44"/>
      <c r="M23" s="44"/>
    </row>
    <row r="24" spans="2:13" x14ac:dyDescent="0.25">
      <c r="E24" s="16"/>
      <c r="F24" s="10"/>
      <c r="G24" s="10"/>
      <c r="H24" s="20"/>
      <c r="I24" s="23"/>
    </row>
    <row r="25" spans="2:13" x14ac:dyDescent="0.25">
      <c r="E25" s="16"/>
      <c r="F25" s="10"/>
      <c r="G25" s="10"/>
      <c r="H25" s="20"/>
      <c r="I25" s="23"/>
    </row>
    <row r="26" spans="2:13" x14ac:dyDescent="0.25">
      <c r="E26" s="16"/>
      <c r="F26" s="10"/>
      <c r="G26" s="10"/>
      <c r="H26" s="20"/>
      <c r="I26" s="23"/>
    </row>
    <row r="27" spans="2:13" x14ac:dyDescent="0.25">
      <c r="E27" s="16"/>
      <c r="F27" s="10"/>
      <c r="G27" s="10"/>
      <c r="H27" s="20"/>
      <c r="I27" s="23"/>
    </row>
    <row r="28" spans="2:13" x14ac:dyDescent="0.25">
      <c r="E28" s="16"/>
      <c r="F28" s="10"/>
      <c r="G28" s="10"/>
      <c r="H28" s="20"/>
      <c r="I28" s="23"/>
    </row>
    <row r="29" spans="2:13" x14ac:dyDescent="0.25">
      <c r="E29" s="16"/>
      <c r="F29" s="10"/>
      <c r="G29" s="10"/>
      <c r="H29" s="20"/>
      <c r="I29" s="23"/>
    </row>
    <row r="30" spans="2:13" x14ac:dyDescent="0.25">
      <c r="E30" s="16"/>
      <c r="F30" s="10"/>
      <c r="G30" s="10"/>
      <c r="H30" s="20"/>
      <c r="I30" s="23"/>
    </row>
    <row r="31" spans="2:13" x14ac:dyDescent="0.25">
      <c r="E31" s="16"/>
      <c r="F31" s="10"/>
      <c r="G31" s="10"/>
      <c r="H31" s="20"/>
      <c r="I31" s="23"/>
    </row>
    <row r="32" spans="2:13" x14ac:dyDescent="0.25">
      <c r="E32" s="16"/>
      <c r="F32" s="10"/>
      <c r="G32" s="10"/>
      <c r="H32" s="20"/>
      <c r="I32" s="23"/>
    </row>
    <row r="33" spans="5:9" x14ac:dyDescent="0.25">
      <c r="E33" s="16"/>
      <c r="F33" s="10"/>
      <c r="G33" s="10"/>
      <c r="H33" s="20"/>
      <c r="I33" s="23"/>
    </row>
    <row r="34" spans="5:9" x14ac:dyDescent="0.25">
      <c r="E34" s="16"/>
      <c r="F34" s="10"/>
      <c r="G34" s="10"/>
      <c r="H34" s="20"/>
      <c r="I34" s="23"/>
    </row>
    <row r="35" spans="5:9" x14ac:dyDescent="0.25">
      <c r="E35" s="16"/>
      <c r="F35" s="10"/>
      <c r="G35" s="10"/>
      <c r="H35" s="20"/>
      <c r="I35" s="23"/>
    </row>
    <row r="36" spans="5:9" x14ac:dyDescent="0.25">
      <c r="E36" s="16"/>
      <c r="F36" s="10"/>
      <c r="G36" s="10"/>
      <c r="H36" s="20"/>
      <c r="I36" s="23"/>
    </row>
    <row r="37" spans="5:9" x14ac:dyDescent="0.25">
      <c r="E37" s="16"/>
      <c r="F37" s="10"/>
      <c r="G37" s="10"/>
      <c r="H37" s="20"/>
      <c r="I37" s="23"/>
    </row>
    <row r="38" spans="5:9" x14ac:dyDescent="0.25">
      <c r="E38" s="16"/>
      <c r="F38" s="10"/>
      <c r="G38" s="10"/>
      <c r="H38" s="20"/>
      <c r="I38" s="23"/>
    </row>
    <row r="39" spans="5:9" x14ac:dyDescent="0.25">
      <c r="E39" s="16"/>
      <c r="F39" s="10"/>
      <c r="G39" s="10"/>
      <c r="H39" s="20"/>
      <c r="I39" s="23"/>
    </row>
    <row r="40" spans="5:9" x14ac:dyDescent="0.25">
      <c r="E40" s="16"/>
      <c r="F40" s="10"/>
      <c r="G40" s="10"/>
      <c r="H40" s="20"/>
      <c r="I40" s="23"/>
    </row>
    <row r="41" spans="5:9" x14ac:dyDescent="0.25">
      <c r="E41" s="16"/>
      <c r="F41" s="10"/>
      <c r="G41" s="10"/>
      <c r="H41" s="20"/>
      <c r="I41" s="23"/>
    </row>
    <row r="42" spans="5:9" x14ac:dyDescent="0.25">
      <c r="E42" s="16"/>
      <c r="F42" s="10"/>
      <c r="G42" s="10"/>
      <c r="H42" s="20"/>
      <c r="I42" s="23"/>
    </row>
    <row r="43" spans="5:9" x14ac:dyDescent="0.25">
      <c r="E43" s="16"/>
      <c r="F43" s="10"/>
      <c r="G43" s="10"/>
      <c r="H43" s="20"/>
      <c r="I43" s="23"/>
    </row>
    <row r="44" spans="5:9" x14ac:dyDescent="0.25">
      <c r="E44" s="16"/>
      <c r="F44" s="10"/>
      <c r="G44" s="10"/>
      <c r="H44" s="20"/>
      <c r="I44" s="23"/>
    </row>
    <row r="45" spans="5:9" x14ac:dyDescent="0.25">
      <c r="E45" s="16"/>
      <c r="F45" s="10"/>
      <c r="G45" s="10"/>
      <c r="H45" s="20"/>
      <c r="I45" s="23"/>
    </row>
    <row r="46" spans="5:9" x14ac:dyDescent="0.25">
      <c r="E46" s="16"/>
      <c r="F46" s="10"/>
      <c r="G46" s="10"/>
      <c r="H46" s="20"/>
      <c r="I46" s="23"/>
    </row>
    <row r="47" spans="5:9" x14ac:dyDescent="0.25">
      <c r="E47" s="16"/>
      <c r="F47" s="10"/>
      <c r="G47" s="10"/>
      <c r="H47" s="20"/>
      <c r="I47" s="23"/>
    </row>
    <row r="48" spans="5:9" x14ac:dyDescent="0.25">
      <c r="E48" s="16"/>
      <c r="F48" s="10"/>
      <c r="G48" s="10"/>
      <c r="H48" s="20"/>
      <c r="I48" s="23"/>
    </row>
    <row r="49" spans="5:10" x14ac:dyDescent="0.25">
      <c r="E49" s="16"/>
      <c r="F49" s="10"/>
      <c r="G49" s="10"/>
      <c r="H49" s="20"/>
      <c r="I49" s="23"/>
    </row>
    <row r="50" spans="5:10" x14ac:dyDescent="0.25">
      <c r="E50" s="16"/>
      <c r="F50" s="10"/>
      <c r="G50" s="10"/>
      <c r="H50" s="20"/>
      <c r="I50" s="23"/>
    </row>
    <row r="51" spans="5:10" x14ac:dyDescent="0.25">
      <c r="E51" s="16"/>
      <c r="F51" s="10"/>
      <c r="G51" s="10"/>
      <c r="H51" s="20"/>
      <c r="I51" s="23"/>
    </row>
    <row r="52" spans="5:10" x14ac:dyDescent="0.25">
      <c r="E52" s="16"/>
      <c r="F52" s="10"/>
      <c r="G52" s="10"/>
      <c r="H52" s="20"/>
      <c r="I52" s="23"/>
      <c r="J52" s="24"/>
    </row>
    <row r="53" spans="5:10" x14ac:dyDescent="0.25">
      <c r="E53" s="16"/>
      <c r="F53" s="10"/>
      <c r="G53" s="10"/>
      <c r="H53" s="20"/>
      <c r="I53" s="23"/>
      <c r="J53" s="24"/>
    </row>
    <row r="54" spans="5:10" x14ac:dyDescent="0.25">
      <c r="E54" s="16"/>
      <c r="F54" s="10"/>
      <c r="G54" s="10"/>
      <c r="H54" s="20"/>
      <c r="I54" s="23"/>
      <c r="J54" s="24"/>
    </row>
    <row r="55" spans="5:10" x14ac:dyDescent="0.25">
      <c r="E55" s="16"/>
      <c r="F55" s="10"/>
      <c r="G55" s="10"/>
      <c r="H55" s="20"/>
      <c r="I55" s="23"/>
      <c r="J55" s="24"/>
    </row>
    <row r="56" spans="5:10" x14ac:dyDescent="0.25">
      <c r="E56" s="16"/>
      <c r="F56" s="10"/>
      <c r="G56" s="10"/>
      <c r="H56" s="20"/>
      <c r="I56" s="23"/>
      <c r="J56" s="24"/>
    </row>
    <row r="57" spans="5:10" x14ac:dyDescent="0.25">
      <c r="E57" s="16"/>
      <c r="F57" s="10"/>
      <c r="G57" s="10"/>
      <c r="H57" s="20"/>
      <c r="I57" s="23"/>
      <c r="J57" s="24"/>
    </row>
    <row r="58" spans="5:10" x14ac:dyDescent="0.25">
      <c r="E58" s="16"/>
      <c r="F58" s="10"/>
      <c r="G58" s="10"/>
      <c r="H58" s="20"/>
      <c r="I58" s="23"/>
      <c r="J58" s="24"/>
    </row>
    <row r="59" spans="5:10" x14ac:dyDescent="0.25">
      <c r="E59" s="16"/>
      <c r="F59" s="10"/>
      <c r="G59" s="10"/>
      <c r="H59" s="20"/>
      <c r="I59" s="23"/>
      <c r="J59" s="24"/>
    </row>
    <row r="60" spans="5:10" x14ac:dyDescent="0.25">
      <c r="E60" s="16"/>
      <c r="F60" s="10"/>
      <c r="G60" s="10"/>
      <c r="H60" s="20"/>
      <c r="I60" s="23"/>
      <c r="J60" s="24"/>
    </row>
    <row r="61" spans="5:10" x14ac:dyDescent="0.25">
      <c r="E61" s="19" t="s">
        <v>50</v>
      </c>
      <c r="F61" s="5"/>
      <c r="G61" s="5"/>
      <c r="H61" s="6">
        <f>SUM(H11:H60)</f>
        <v>0</v>
      </c>
    </row>
  </sheetData>
  <mergeCells count="5">
    <mergeCell ref="B1:M1"/>
    <mergeCell ref="B9:C9"/>
    <mergeCell ref="E9:I9"/>
    <mergeCell ref="K9:M9"/>
    <mergeCell ref="K22:M23"/>
  </mergeCells>
  <conditionalFormatting sqref="I11:I51 I52:J60">
    <cfRule type="cellIs" dxfId="21" priority="1" operator="equal">
      <formula>"Pago"</formula>
    </cfRule>
    <cfRule type="cellIs" dxfId="20" priority="2" operator="equal">
      <formula>"Não pago"</formula>
    </cfRule>
  </conditionalFormatting>
  <dataValidations count="2">
    <dataValidation type="list" allowBlank="1" showInputMessage="1" showErrorMessage="1" sqref="J52:J60 I11:I60" xr:uid="{5126EECB-D7FA-4F0C-9057-FB60DE0FAAA9}">
      <formula1>"Pago,Não pago"</formula1>
    </dataValidation>
    <dataValidation type="list" allowBlank="1" error="Escolha uma categoria da lista" sqref="G11:G60" xr:uid="{0E437211-11E8-449E-82EE-D26BA902014E}">
      <formula1>$K$11:$K$18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DA97E9-CF21-46FF-998C-A0AFB092BBD1}">
          <x14:formula1>
            <xm:f>Resumo!$B$6:$B$17</xm:f>
          </x14:formula1>
          <xm:sqref>C2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5767-60CF-456A-AB06-5699F79FC52E}">
  <sheetPr>
    <tabColor theme="3"/>
  </sheetPr>
  <dimension ref="B1:K110"/>
  <sheetViews>
    <sheetView showGridLines="0" zoomScaleNormal="100" workbookViewId="0">
      <selection activeCell="L26" sqref="L26"/>
    </sheetView>
  </sheetViews>
  <sheetFormatPr defaultColWidth="8.7109375" defaultRowHeight="15" x14ac:dyDescent="0.25"/>
  <cols>
    <col min="1" max="1" width="2" customWidth="1"/>
    <col min="2" max="2" width="15.5703125" customWidth="1"/>
    <col min="3" max="3" width="15" bestFit="1" customWidth="1"/>
    <col min="4" max="4" width="30" customWidth="1"/>
    <col min="5" max="5" width="9" customWidth="1"/>
    <col min="6" max="6" width="24" customWidth="1"/>
    <col min="7" max="7" width="12" customWidth="1"/>
    <col min="8" max="8" width="2" customWidth="1"/>
    <col min="9" max="9" width="24" customWidth="1"/>
    <col min="10" max="10" width="13" customWidth="1"/>
    <col min="11" max="11" width="8" customWidth="1"/>
  </cols>
  <sheetData>
    <row r="1" spans="2:11" ht="24" customHeight="1" x14ac:dyDescent="0.25">
      <c r="B1" s="45" t="s">
        <v>51</v>
      </c>
      <c r="C1" s="45"/>
      <c r="D1" s="45"/>
      <c r="E1" s="45"/>
      <c r="F1" s="45"/>
      <c r="G1" s="45"/>
      <c r="H1" s="45"/>
      <c r="I1" s="45"/>
      <c r="J1" s="45"/>
      <c r="K1" s="45"/>
    </row>
    <row r="2" spans="2:11" x14ac:dyDescent="0.25">
      <c r="C2" s="7" t="s">
        <v>26</v>
      </c>
      <c r="D2" s="9" t="s">
        <v>9</v>
      </c>
      <c r="E2" s="8" t="s">
        <v>52</v>
      </c>
    </row>
    <row r="3" spans="2:11" x14ac:dyDescent="0.25">
      <c r="I3" s="5" t="s">
        <v>145</v>
      </c>
      <c r="J3" s="6">
        <f>SUMIFS(G:G,B:B,I3)</f>
        <v>0</v>
      </c>
    </row>
    <row r="4" spans="2:11" x14ac:dyDescent="0.25">
      <c r="C4" s="5" t="s">
        <v>53</v>
      </c>
      <c r="D4" s="6">
        <f>G110</f>
        <v>0</v>
      </c>
      <c r="I4" s="5" t="s">
        <v>146</v>
      </c>
      <c r="J4" s="6">
        <f>SUMIFS(G:G,B:B,I4)</f>
        <v>0</v>
      </c>
    </row>
    <row r="5" spans="2:11" x14ac:dyDescent="0.25">
      <c r="I5" s="5" t="s">
        <v>147</v>
      </c>
      <c r="J5" s="6">
        <f>SUMIFS(G:G,B:B,I5)</f>
        <v>0</v>
      </c>
    </row>
    <row r="6" spans="2:11" x14ac:dyDescent="0.25">
      <c r="I6" s="43" t="s">
        <v>148</v>
      </c>
      <c r="J6" s="6">
        <f>SUM(J3:J5)</f>
        <v>0</v>
      </c>
    </row>
    <row r="8" spans="2:11" ht="16.5" x14ac:dyDescent="0.25">
      <c r="B8" s="45" t="s">
        <v>54</v>
      </c>
      <c r="C8" s="45"/>
      <c r="D8" s="45"/>
      <c r="E8" s="45"/>
      <c r="F8" s="45"/>
      <c r="G8" s="45"/>
      <c r="I8" s="45" t="s">
        <v>55</v>
      </c>
      <c r="J8" s="45"/>
      <c r="K8" s="45"/>
    </row>
    <row r="9" spans="2:11" x14ac:dyDescent="0.25">
      <c r="B9" s="1" t="s">
        <v>144</v>
      </c>
      <c r="C9" s="1" t="s">
        <v>36</v>
      </c>
      <c r="D9" s="1" t="s">
        <v>34</v>
      </c>
      <c r="E9" s="1" t="s">
        <v>56</v>
      </c>
      <c r="F9" s="1" t="s">
        <v>37</v>
      </c>
      <c r="G9" s="1" t="s">
        <v>35</v>
      </c>
      <c r="I9" s="1" t="s">
        <v>37</v>
      </c>
      <c r="J9" s="1" t="s">
        <v>38</v>
      </c>
      <c r="K9" s="1" t="s">
        <v>39</v>
      </c>
    </row>
    <row r="10" spans="2:11" x14ac:dyDescent="0.25">
      <c r="B10" s="16"/>
      <c r="C10" s="16"/>
      <c r="D10" s="31"/>
      <c r="E10" s="32"/>
      <c r="F10" s="31"/>
      <c r="G10" s="33"/>
      <c r="I10" s="40" t="s">
        <v>42</v>
      </c>
      <c r="J10" s="41">
        <f t="shared" ref="J10:J20" si="0">SUMIF($F$10:$F$109,I10,$G$10:$G$109)</f>
        <v>0</v>
      </c>
      <c r="K10" s="42">
        <f t="shared" ref="K10:K20" si="1">IF($J$21=0,0,J10/$J$21)</f>
        <v>0</v>
      </c>
    </row>
    <row r="11" spans="2:11" x14ac:dyDescent="0.25">
      <c r="B11" s="16"/>
      <c r="C11" s="16"/>
      <c r="D11" s="31"/>
      <c r="E11" s="32"/>
      <c r="F11" s="31"/>
      <c r="G11" s="33"/>
      <c r="I11" s="40" t="s">
        <v>57</v>
      </c>
      <c r="J11" s="41">
        <f t="shared" si="0"/>
        <v>0</v>
      </c>
      <c r="K11" s="42">
        <f t="shared" si="1"/>
        <v>0</v>
      </c>
    </row>
    <row r="12" spans="2:11" x14ac:dyDescent="0.25">
      <c r="B12" s="16"/>
      <c r="C12" s="16"/>
      <c r="D12" s="31"/>
      <c r="E12" s="32"/>
      <c r="F12" s="31"/>
      <c r="G12" s="33"/>
      <c r="I12" s="40" t="s">
        <v>58</v>
      </c>
      <c r="J12" s="41">
        <f t="shared" si="0"/>
        <v>0</v>
      </c>
      <c r="K12" s="42">
        <f t="shared" si="1"/>
        <v>0</v>
      </c>
    </row>
    <row r="13" spans="2:11" x14ac:dyDescent="0.25">
      <c r="B13" s="16"/>
      <c r="C13" s="16"/>
      <c r="D13" s="31"/>
      <c r="E13" s="32"/>
      <c r="F13" s="31"/>
      <c r="G13" s="33"/>
      <c r="I13" s="40" t="s">
        <v>59</v>
      </c>
      <c r="J13" s="41">
        <f t="shared" si="0"/>
        <v>0</v>
      </c>
      <c r="K13" s="42">
        <f t="shared" si="1"/>
        <v>0</v>
      </c>
    </row>
    <row r="14" spans="2:11" x14ac:dyDescent="0.25">
      <c r="B14" s="29"/>
      <c r="C14" s="29"/>
      <c r="D14" s="34"/>
      <c r="E14" s="35"/>
      <c r="F14" s="34"/>
      <c r="G14" s="36"/>
      <c r="I14" s="40" t="s">
        <v>60</v>
      </c>
      <c r="J14" s="41">
        <f t="shared" si="0"/>
        <v>0</v>
      </c>
      <c r="K14" s="42">
        <f t="shared" si="1"/>
        <v>0</v>
      </c>
    </row>
    <row r="15" spans="2:11" x14ac:dyDescent="0.25">
      <c r="B15" s="30"/>
      <c r="C15" s="30"/>
      <c r="D15" s="37"/>
      <c r="E15" s="38"/>
      <c r="F15" s="37"/>
      <c r="G15" s="39"/>
      <c r="I15" s="40" t="s">
        <v>61</v>
      </c>
      <c r="J15" s="41">
        <f t="shared" si="0"/>
        <v>0</v>
      </c>
      <c r="K15" s="42">
        <f t="shared" si="1"/>
        <v>0</v>
      </c>
    </row>
    <row r="16" spans="2:11" x14ac:dyDescent="0.25">
      <c r="B16" s="30"/>
      <c r="C16" s="30"/>
      <c r="D16" s="37"/>
      <c r="E16" s="38"/>
      <c r="F16" s="37"/>
      <c r="G16" s="39"/>
      <c r="I16" s="40" t="s">
        <v>62</v>
      </c>
      <c r="J16" s="41">
        <f t="shared" si="0"/>
        <v>0</v>
      </c>
      <c r="K16" s="42">
        <f t="shared" si="1"/>
        <v>0</v>
      </c>
    </row>
    <row r="17" spans="2:11" x14ac:dyDescent="0.25">
      <c r="B17" s="30"/>
      <c r="C17" s="30"/>
      <c r="D17" s="37"/>
      <c r="E17" s="38"/>
      <c r="F17" s="37"/>
      <c r="G17" s="39"/>
      <c r="I17" s="40" t="s">
        <v>46</v>
      </c>
      <c r="J17" s="41">
        <f t="shared" si="0"/>
        <v>0</v>
      </c>
      <c r="K17" s="42">
        <f t="shared" si="1"/>
        <v>0</v>
      </c>
    </row>
    <row r="18" spans="2:11" x14ac:dyDescent="0.25">
      <c r="B18" s="30"/>
      <c r="C18" s="30"/>
      <c r="D18" s="37"/>
      <c r="E18" s="38"/>
      <c r="F18" s="37"/>
      <c r="G18" s="39"/>
      <c r="I18" s="40" t="s">
        <v>63</v>
      </c>
      <c r="J18" s="41">
        <f t="shared" si="0"/>
        <v>0</v>
      </c>
      <c r="K18" s="42">
        <f t="shared" si="1"/>
        <v>0</v>
      </c>
    </row>
    <row r="19" spans="2:11" x14ac:dyDescent="0.25">
      <c r="B19" s="30"/>
      <c r="C19" s="30"/>
      <c r="D19" s="37"/>
      <c r="E19" s="38"/>
      <c r="F19" s="37"/>
      <c r="G19" s="39"/>
      <c r="I19" s="40" t="s">
        <v>45</v>
      </c>
      <c r="J19" s="41">
        <f t="shared" si="0"/>
        <v>0</v>
      </c>
      <c r="K19" s="42">
        <f t="shared" si="1"/>
        <v>0</v>
      </c>
    </row>
    <row r="20" spans="2:11" x14ac:dyDescent="0.25">
      <c r="B20" s="30"/>
      <c r="C20" s="30"/>
      <c r="D20" s="37"/>
      <c r="E20" s="38"/>
      <c r="F20" s="37"/>
      <c r="G20" s="39"/>
      <c r="I20" s="40" t="s">
        <v>47</v>
      </c>
      <c r="J20" s="41">
        <f t="shared" si="0"/>
        <v>0</v>
      </c>
      <c r="K20" s="42">
        <f t="shared" si="1"/>
        <v>0</v>
      </c>
    </row>
    <row r="21" spans="2:11" x14ac:dyDescent="0.25">
      <c r="B21" s="30"/>
      <c r="C21" s="30"/>
      <c r="D21" s="37"/>
      <c r="E21" s="38"/>
      <c r="F21" s="37"/>
      <c r="G21" s="39"/>
      <c r="I21" s="5" t="s">
        <v>38</v>
      </c>
      <c r="J21" s="6">
        <f>SUM(J10:J20)</f>
        <v>0</v>
      </c>
      <c r="K21" s="14">
        <f>IF(J21=0,0,J21/J21)</f>
        <v>0</v>
      </c>
    </row>
    <row r="22" spans="2:11" x14ac:dyDescent="0.25">
      <c r="B22" s="30"/>
      <c r="C22" s="30"/>
      <c r="D22" s="37"/>
      <c r="E22" s="38"/>
      <c r="F22" s="37"/>
      <c r="G22" s="39"/>
    </row>
    <row r="23" spans="2:11" x14ac:dyDescent="0.25">
      <c r="B23" s="30"/>
      <c r="C23" s="30"/>
      <c r="D23" s="37"/>
      <c r="E23" s="38"/>
      <c r="F23" s="37"/>
      <c r="G23" s="39"/>
    </row>
    <row r="24" spans="2:11" x14ac:dyDescent="0.25">
      <c r="B24" s="30"/>
      <c r="C24" s="30"/>
      <c r="D24" s="37"/>
      <c r="E24" s="38"/>
      <c r="F24" s="37"/>
      <c r="G24" s="39"/>
    </row>
    <row r="25" spans="2:11" x14ac:dyDescent="0.25">
      <c r="B25" s="30"/>
      <c r="C25" s="30"/>
      <c r="D25" s="37"/>
      <c r="E25" s="38"/>
      <c r="F25" s="37"/>
      <c r="G25" s="39"/>
    </row>
    <row r="26" spans="2:11" x14ac:dyDescent="0.25">
      <c r="B26" s="30"/>
      <c r="C26" s="30"/>
      <c r="D26" s="37"/>
      <c r="E26" s="38"/>
      <c r="F26" s="37"/>
      <c r="G26" s="39"/>
    </row>
    <row r="27" spans="2:11" x14ac:dyDescent="0.25">
      <c r="B27" s="30"/>
      <c r="C27" s="30"/>
      <c r="D27" s="37"/>
      <c r="E27" s="38"/>
      <c r="F27" s="37"/>
      <c r="G27" s="39"/>
    </row>
    <row r="28" spans="2:11" x14ac:dyDescent="0.25">
      <c r="B28" s="30"/>
      <c r="C28" s="30"/>
      <c r="D28" s="37"/>
      <c r="E28" s="38"/>
      <c r="F28" s="37"/>
      <c r="G28" s="39"/>
    </row>
    <row r="29" spans="2:11" x14ac:dyDescent="0.25">
      <c r="B29" s="30"/>
      <c r="C29" s="30"/>
      <c r="D29" s="37"/>
      <c r="E29" s="38"/>
      <c r="F29" s="37"/>
      <c r="G29" s="39"/>
    </row>
    <row r="30" spans="2:11" x14ac:dyDescent="0.25">
      <c r="B30" s="30"/>
      <c r="C30" s="30"/>
      <c r="D30" s="37"/>
      <c r="E30" s="38"/>
      <c r="F30" s="37"/>
      <c r="G30" s="39"/>
    </row>
    <row r="31" spans="2:11" x14ac:dyDescent="0.25">
      <c r="B31" s="30"/>
      <c r="C31" s="30"/>
      <c r="D31" s="37"/>
      <c r="E31" s="38"/>
      <c r="F31" s="37"/>
      <c r="G31" s="39"/>
    </row>
    <row r="32" spans="2:11" x14ac:dyDescent="0.25">
      <c r="B32" s="30"/>
      <c r="C32" s="30"/>
      <c r="D32" s="37"/>
      <c r="E32" s="38"/>
      <c r="F32" s="37"/>
      <c r="G32" s="39"/>
    </row>
    <row r="33" spans="2:7" x14ac:dyDescent="0.25">
      <c r="B33" s="30"/>
      <c r="C33" s="30"/>
      <c r="D33" s="37"/>
      <c r="E33" s="38"/>
      <c r="F33" s="37"/>
      <c r="G33" s="39"/>
    </row>
    <row r="34" spans="2:7" x14ac:dyDescent="0.25">
      <c r="B34" s="30"/>
      <c r="C34" s="30"/>
      <c r="D34" s="37"/>
      <c r="E34" s="38"/>
      <c r="F34" s="37"/>
      <c r="G34" s="39"/>
    </row>
    <row r="35" spans="2:7" x14ac:dyDescent="0.25">
      <c r="B35" s="30"/>
      <c r="C35" s="30"/>
      <c r="D35" s="37"/>
      <c r="E35" s="38"/>
      <c r="F35" s="37"/>
      <c r="G35" s="39"/>
    </row>
    <row r="36" spans="2:7" x14ac:dyDescent="0.25">
      <c r="B36" s="30"/>
      <c r="C36" s="30"/>
      <c r="D36" s="37"/>
      <c r="E36" s="38"/>
      <c r="F36" s="37"/>
      <c r="G36" s="39"/>
    </row>
    <row r="37" spans="2:7" x14ac:dyDescent="0.25">
      <c r="B37" s="30"/>
      <c r="C37" s="30"/>
      <c r="D37" s="37"/>
      <c r="E37" s="38"/>
      <c r="F37" s="37"/>
      <c r="G37" s="39"/>
    </row>
    <row r="38" spans="2:7" x14ac:dyDescent="0.25">
      <c r="B38" s="30"/>
      <c r="C38" s="30"/>
      <c r="D38" s="37"/>
      <c r="E38" s="38"/>
      <c r="F38" s="37"/>
      <c r="G38" s="39"/>
    </row>
    <row r="39" spans="2:7" x14ac:dyDescent="0.25">
      <c r="B39" s="30"/>
      <c r="C39" s="30"/>
      <c r="D39" s="37"/>
      <c r="E39" s="38"/>
      <c r="F39" s="37"/>
      <c r="G39" s="39"/>
    </row>
    <row r="40" spans="2:7" x14ac:dyDescent="0.25">
      <c r="B40" s="30"/>
      <c r="C40" s="30"/>
      <c r="D40" s="37"/>
      <c r="E40" s="38"/>
      <c r="F40" s="37"/>
      <c r="G40" s="39"/>
    </row>
    <row r="41" spans="2:7" x14ac:dyDescent="0.25">
      <c r="B41" s="30"/>
      <c r="C41" s="30"/>
      <c r="D41" s="37"/>
      <c r="E41" s="38"/>
      <c r="F41" s="37"/>
      <c r="G41" s="39"/>
    </row>
    <row r="42" spans="2:7" x14ac:dyDescent="0.25">
      <c r="B42" s="30"/>
      <c r="C42" s="30"/>
      <c r="D42" s="37"/>
      <c r="E42" s="38"/>
      <c r="F42" s="37"/>
      <c r="G42" s="39"/>
    </row>
    <row r="43" spans="2:7" x14ac:dyDescent="0.25">
      <c r="B43" s="30"/>
      <c r="C43" s="30"/>
      <c r="D43" s="37"/>
      <c r="E43" s="38"/>
      <c r="F43" s="37"/>
      <c r="G43" s="39"/>
    </row>
    <row r="44" spans="2:7" x14ac:dyDescent="0.25">
      <c r="B44" s="30"/>
      <c r="C44" s="30"/>
      <c r="D44" s="37"/>
      <c r="E44" s="38"/>
      <c r="F44" s="37"/>
      <c r="G44" s="39"/>
    </row>
    <row r="45" spans="2:7" x14ac:dyDescent="0.25">
      <c r="B45" s="30"/>
      <c r="C45" s="30"/>
      <c r="D45" s="37"/>
      <c r="E45" s="38"/>
      <c r="F45" s="37"/>
      <c r="G45" s="39"/>
    </row>
    <row r="46" spans="2:7" x14ac:dyDescent="0.25">
      <c r="B46" s="30"/>
      <c r="C46" s="30"/>
      <c r="D46" s="37"/>
      <c r="E46" s="38"/>
      <c r="F46" s="37"/>
      <c r="G46" s="39"/>
    </row>
    <row r="47" spans="2:7" x14ac:dyDescent="0.25">
      <c r="B47" s="30"/>
      <c r="C47" s="30"/>
      <c r="D47" s="37"/>
      <c r="E47" s="38"/>
      <c r="F47" s="37"/>
      <c r="G47" s="39"/>
    </row>
    <row r="48" spans="2:7" x14ac:dyDescent="0.25">
      <c r="B48" s="30"/>
      <c r="C48" s="30"/>
      <c r="D48" s="37"/>
      <c r="E48" s="38"/>
      <c r="F48" s="37"/>
      <c r="G48" s="39"/>
    </row>
    <row r="49" spans="2:7" x14ac:dyDescent="0.25">
      <c r="B49" s="30"/>
      <c r="C49" s="30"/>
      <c r="D49" s="37"/>
      <c r="E49" s="38"/>
      <c r="F49" s="37"/>
      <c r="G49" s="39"/>
    </row>
    <row r="50" spans="2:7" x14ac:dyDescent="0.25">
      <c r="B50" s="30"/>
      <c r="C50" s="30"/>
      <c r="D50" s="37"/>
      <c r="E50" s="38"/>
      <c r="F50" s="37"/>
      <c r="G50" s="39"/>
    </row>
    <row r="51" spans="2:7" x14ac:dyDescent="0.25">
      <c r="B51" s="30"/>
      <c r="C51" s="30"/>
      <c r="D51" s="37"/>
      <c r="E51" s="38"/>
      <c r="F51" s="37"/>
      <c r="G51" s="39"/>
    </row>
    <row r="52" spans="2:7" x14ac:dyDescent="0.25">
      <c r="B52" s="30"/>
      <c r="C52" s="30"/>
      <c r="D52" s="37"/>
      <c r="E52" s="38"/>
      <c r="F52" s="37"/>
      <c r="G52" s="39"/>
    </row>
    <row r="53" spans="2:7" x14ac:dyDescent="0.25">
      <c r="B53" s="30"/>
      <c r="C53" s="30"/>
      <c r="D53" s="37"/>
      <c r="E53" s="38"/>
      <c r="F53" s="37"/>
      <c r="G53" s="39"/>
    </row>
    <row r="54" spans="2:7" x14ac:dyDescent="0.25">
      <c r="B54" s="30"/>
      <c r="C54" s="30"/>
      <c r="D54" s="37"/>
      <c r="E54" s="38"/>
      <c r="F54" s="37"/>
      <c r="G54" s="39"/>
    </row>
    <row r="55" spans="2:7" x14ac:dyDescent="0.25">
      <c r="B55" s="30"/>
      <c r="C55" s="30"/>
      <c r="D55" s="37"/>
      <c r="E55" s="38"/>
      <c r="F55" s="37"/>
      <c r="G55" s="39"/>
    </row>
    <row r="56" spans="2:7" x14ac:dyDescent="0.25">
      <c r="B56" s="30"/>
      <c r="C56" s="30"/>
      <c r="D56" s="37"/>
      <c r="E56" s="38"/>
      <c r="F56" s="37"/>
      <c r="G56" s="39"/>
    </row>
    <row r="57" spans="2:7" x14ac:dyDescent="0.25">
      <c r="B57" s="30"/>
      <c r="C57" s="30"/>
      <c r="D57" s="37"/>
      <c r="E57" s="38"/>
      <c r="F57" s="37"/>
      <c r="G57" s="39"/>
    </row>
    <row r="58" spans="2:7" x14ac:dyDescent="0.25">
      <c r="B58" s="30"/>
      <c r="C58" s="30"/>
      <c r="D58" s="37"/>
      <c r="E58" s="38"/>
      <c r="F58" s="37"/>
      <c r="G58" s="39"/>
    </row>
    <row r="59" spans="2:7" x14ac:dyDescent="0.25">
      <c r="B59" s="30"/>
      <c r="C59" s="30"/>
      <c r="D59" s="37"/>
      <c r="E59" s="38"/>
      <c r="F59" s="37"/>
      <c r="G59" s="39"/>
    </row>
    <row r="60" spans="2:7" x14ac:dyDescent="0.25">
      <c r="B60" s="30"/>
      <c r="C60" s="30"/>
      <c r="D60" s="37"/>
      <c r="E60" s="38"/>
      <c r="F60" s="37"/>
      <c r="G60" s="39"/>
    </row>
    <row r="61" spans="2:7" x14ac:dyDescent="0.25">
      <c r="B61" s="30"/>
      <c r="C61" s="30"/>
      <c r="D61" s="37"/>
      <c r="E61" s="38"/>
      <c r="F61" s="37"/>
      <c r="G61" s="39"/>
    </row>
    <row r="62" spans="2:7" x14ac:dyDescent="0.25">
      <c r="B62" s="30"/>
      <c r="C62" s="30"/>
      <c r="D62" s="37"/>
      <c r="E62" s="38"/>
      <c r="F62" s="37"/>
      <c r="G62" s="39"/>
    </row>
    <row r="63" spans="2:7" x14ac:dyDescent="0.25">
      <c r="B63" s="30"/>
      <c r="C63" s="30"/>
      <c r="D63" s="37"/>
      <c r="E63" s="38"/>
      <c r="F63" s="37"/>
      <c r="G63" s="39"/>
    </row>
    <row r="64" spans="2:7" x14ac:dyDescent="0.25">
      <c r="B64" s="30"/>
      <c r="C64" s="30"/>
      <c r="D64" s="37"/>
      <c r="E64" s="38"/>
      <c r="F64" s="37"/>
      <c r="G64" s="39"/>
    </row>
    <row r="65" spans="2:7" x14ac:dyDescent="0.25">
      <c r="B65" s="30"/>
      <c r="C65" s="30"/>
      <c r="D65" s="37"/>
      <c r="E65" s="38"/>
      <c r="F65" s="37"/>
      <c r="G65" s="39"/>
    </row>
    <row r="66" spans="2:7" x14ac:dyDescent="0.25">
      <c r="B66" s="30"/>
      <c r="C66" s="30"/>
      <c r="D66" s="37"/>
      <c r="E66" s="38"/>
      <c r="F66" s="37"/>
      <c r="G66" s="39"/>
    </row>
    <row r="67" spans="2:7" x14ac:dyDescent="0.25">
      <c r="B67" s="30"/>
      <c r="C67" s="30"/>
      <c r="D67" s="37"/>
      <c r="E67" s="38"/>
      <c r="F67" s="37"/>
      <c r="G67" s="39"/>
    </row>
    <row r="68" spans="2:7" x14ac:dyDescent="0.25">
      <c r="B68" s="30"/>
      <c r="C68" s="30"/>
      <c r="D68" s="37"/>
      <c r="E68" s="38"/>
      <c r="F68" s="37"/>
      <c r="G68" s="39"/>
    </row>
    <row r="69" spans="2:7" x14ac:dyDescent="0.25">
      <c r="B69" s="30"/>
      <c r="C69" s="30"/>
      <c r="D69" s="37"/>
      <c r="E69" s="38"/>
      <c r="F69" s="37"/>
      <c r="G69" s="39"/>
    </row>
    <row r="70" spans="2:7" x14ac:dyDescent="0.25">
      <c r="B70" s="30"/>
      <c r="C70" s="30"/>
      <c r="D70" s="37"/>
      <c r="E70" s="38"/>
      <c r="F70" s="37"/>
      <c r="G70" s="39"/>
    </row>
    <row r="71" spans="2:7" x14ac:dyDescent="0.25">
      <c r="B71" s="30"/>
      <c r="C71" s="30"/>
      <c r="D71" s="37"/>
      <c r="E71" s="38"/>
      <c r="F71" s="37"/>
      <c r="G71" s="39"/>
    </row>
    <row r="72" spans="2:7" x14ac:dyDescent="0.25">
      <c r="B72" s="30"/>
      <c r="C72" s="30"/>
      <c r="D72" s="37"/>
      <c r="E72" s="38"/>
      <c r="F72" s="37"/>
      <c r="G72" s="39"/>
    </row>
    <row r="73" spans="2:7" x14ac:dyDescent="0.25">
      <c r="B73" s="30"/>
      <c r="C73" s="30"/>
      <c r="D73" s="37"/>
      <c r="E73" s="38"/>
      <c r="F73" s="37"/>
      <c r="G73" s="39"/>
    </row>
    <row r="74" spans="2:7" x14ac:dyDescent="0.25">
      <c r="B74" s="30"/>
      <c r="C74" s="30"/>
      <c r="D74" s="37"/>
      <c r="E74" s="38"/>
      <c r="F74" s="37"/>
      <c r="G74" s="39"/>
    </row>
    <row r="75" spans="2:7" x14ac:dyDescent="0.25">
      <c r="B75" s="30"/>
      <c r="C75" s="30"/>
      <c r="D75" s="37"/>
      <c r="E75" s="38"/>
      <c r="F75" s="37"/>
      <c r="G75" s="39"/>
    </row>
    <row r="76" spans="2:7" x14ac:dyDescent="0.25">
      <c r="B76" s="30"/>
      <c r="C76" s="30"/>
      <c r="D76" s="37"/>
      <c r="E76" s="38"/>
      <c r="F76" s="37"/>
      <c r="G76" s="39"/>
    </row>
    <row r="77" spans="2:7" x14ac:dyDescent="0.25">
      <c r="B77" s="30"/>
      <c r="C77" s="30"/>
      <c r="D77" s="37"/>
      <c r="E77" s="38"/>
      <c r="F77" s="37"/>
      <c r="G77" s="39"/>
    </row>
    <row r="78" spans="2:7" x14ac:dyDescent="0.25">
      <c r="B78" s="30"/>
      <c r="C78" s="30"/>
      <c r="D78" s="37"/>
      <c r="E78" s="38"/>
      <c r="F78" s="37"/>
      <c r="G78" s="39"/>
    </row>
    <row r="79" spans="2:7" x14ac:dyDescent="0.25">
      <c r="B79" s="30"/>
      <c r="C79" s="30"/>
      <c r="D79" s="37"/>
      <c r="E79" s="38"/>
      <c r="F79" s="37"/>
      <c r="G79" s="39"/>
    </row>
    <row r="80" spans="2:7" x14ac:dyDescent="0.25">
      <c r="B80" s="30"/>
      <c r="C80" s="30"/>
      <c r="D80" s="37"/>
      <c r="E80" s="38"/>
      <c r="F80" s="37"/>
      <c r="G80" s="39"/>
    </row>
    <row r="81" spans="2:7" x14ac:dyDescent="0.25">
      <c r="B81" s="30"/>
      <c r="C81" s="30"/>
      <c r="D81" s="37"/>
      <c r="E81" s="38"/>
      <c r="F81" s="37"/>
      <c r="G81" s="39"/>
    </row>
    <row r="82" spans="2:7" x14ac:dyDescent="0.25">
      <c r="B82" s="30"/>
      <c r="C82" s="30"/>
      <c r="D82" s="37"/>
      <c r="E82" s="38"/>
      <c r="F82" s="37"/>
      <c r="G82" s="39"/>
    </row>
    <row r="83" spans="2:7" x14ac:dyDescent="0.25">
      <c r="B83" s="30"/>
      <c r="C83" s="30"/>
      <c r="D83" s="37"/>
      <c r="E83" s="38"/>
      <c r="F83" s="37"/>
      <c r="G83" s="39"/>
    </row>
    <row r="84" spans="2:7" x14ac:dyDescent="0.25">
      <c r="B84" s="30"/>
      <c r="C84" s="30"/>
      <c r="D84" s="37"/>
      <c r="E84" s="38"/>
      <c r="F84" s="37"/>
      <c r="G84" s="39"/>
    </row>
    <row r="85" spans="2:7" x14ac:dyDescent="0.25">
      <c r="B85" s="30"/>
      <c r="C85" s="30"/>
      <c r="D85" s="37"/>
      <c r="E85" s="38"/>
      <c r="F85" s="37"/>
      <c r="G85" s="39"/>
    </row>
    <row r="86" spans="2:7" x14ac:dyDescent="0.25">
      <c r="B86" s="30"/>
      <c r="C86" s="30"/>
      <c r="D86" s="37"/>
      <c r="E86" s="38"/>
      <c r="F86" s="37"/>
      <c r="G86" s="39"/>
    </row>
    <row r="87" spans="2:7" x14ac:dyDescent="0.25">
      <c r="B87" s="30"/>
      <c r="C87" s="30"/>
      <c r="D87" s="37"/>
      <c r="E87" s="38"/>
      <c r="F87" s="37"/>
      <c r="G87" s="39"/>
    </row>
    <row r="88" spans="2:7" x14ac:dyDescent="0.25">
      <c r="B88" s="30"/>
      <c r="C88" s="30"/>
      <c r="D88" s="37"/>
      <c r="E88" s="38"/>
      <c r="F88" s="37"/>
      <c r="G88" s="39"/>
    </row>
    <row r="89" spans="2:7" x14ac:dyDescent="0.25">
      <c r="B89" s="30"/>
      <c r="C89" s="30"/>
      <c r="D89" s="37"/>
      <c r="E89" s="38"/>
      <c r="F89" s="37"/>
      <c r="G89" s="39"/>
    </row>
    <row r="90" spans="2:7" x14ac:dyDescent="0.25">
      <c r="B90" s="30"/>
      <c r="C90" s="30"/>
      <c r="D90" s="37"/>
      <c r="E90" s="38"/>
      <c r="F90" s="37"/>
      <c r="G90" s="39"/>
    </row>
    <row r="91" spans="2:7" x14ac:dyDescent="0.25">
      <c r="B91" s="30"/>
      <c r="C91" s="30"/>
      <c r="D91" s="37"/>
      <c r="E91" s="38"/>
      <c r="F91" s="37"/>
      <c r="G91" s="39"/>
    </row>
    <row r="92" spans="2:7" x14ac:dyDescent="0.25">
      <c r="B92" s="30"/>
      <c r="C92" s="30"/>
      <c r="D92" s="37"/>
      <c r="E92" s="38"/>
      <c r="F92" s="37"/>
      <c r="G92" s="39"/>
    </row>
    <row r="93" spans="2:7" x14ac:dyDescent="0.25">
      <c r="B93" s="30"/>
      <c r="C93" s="25"/>
      <c r="D93" s="26"/>
      <c r="E93" s="27"/>
      <c r="F93" s="26"/>
      <c r="G93" s="28"/>
    </row>
    <row r="94" spans="2:7" x14ac:dyDescent="0.25">
      <c r="B94" s="30"/>
      <c r="C94" s="12"/>
      <c r="D94" s="10"/>
      <c r="E94" s="15"/>
      <c r="F94" s="10"/>
      <c r="G94" s="11"/>
    </row>
    <row r="95" spans="2:7" x14ac:dyDescent="0.25">
      <c r="B95" s="30"/>
      <c r="C95" s="12"/>
      <c r="D95" s="10"/>
      <c r="E95" s="15"/>
      <c r="F95" s="10"/>
      <c r="G95" s="11"/>
    </row>
    <row r="96" spans="2:7" x14ac:dyDescent="0.25">
      <c r="B96" s="30"/>
      <c r="C96" s="12"/>
      <c r="D96" s="10"/>
      <c r="E96" s="15"/>
      <c r="F96" s="10"/>
      <c r="G96" s="11"/>
    </row>
    <row r="97" spans="2:7" x14ac:dyDescent="0.25">
      <c r="B97" s="30"/>
      <c r="C97" s="12"/>
      <c r="D97" s="10"/>
      <c r="E97" s="15"/>
      <c r="F97" s="10"/>
      <c r="G97" s="11"/>
    </row>
    <row r="98" spans="2:7" x14ac:dyDescent="0.25">
      <c r="B98" s="30"/>
      <c r="C98" s="12"/>
      <c r="D98" s="10"/>
      <c r="E98" s="15"/>
      <c r="F98" s="10"/>
      <c r="G98" s="11"/>
    </row>
    <row r="99" spans="2:7" x14ac:dyDescent="0.25">
      <c r="B99" s="30"/>
      <c r="C99" s="12"/>
      <c r="D99" s="10"/>
      <c r="E99" s="15"/>
      <c r="F99" s="10"/>
      <c r="G99" s="11"/>
    </row>
    <row r="100" spans="2:7" x14ac:dyDescent="0.25">
      <c r="B100" s="30"/>
      <c r="C100" s="12"/>
      <c r="D100" s="10"/>
      <c r="E100" s="15"/>
      <c r="F100" s="10"/>
      <c r="G100" s="11"/>
    </row>
    <row r="101" spans="2:7" x14ac:dyDescent="0.25">
      <c r="B101" s="30"/>
      <c r="C101" s="12"/>
      <c r="D101" s="10"/>
      <c r="E101" s="15"/>
      <c r="F101" s="10"/>
      <c r="G101" s="11"/>
    </row>
    <row r="102" spans="2:7" x14ac:dyDescent="0.25">
      <c r="B102" s="30"/>
      <c r="C102" s="12"/>
      <c r="D102" s="10"/>
      <c r="E102" s="15"/>
      <c r="F102" s="10"/>
      <c r="G102" s="11"/>
    </row>
    <row r="103" spans="2:7" x14ac:dyDescent="0.25">
      <c r="B103" s="30"/>
      <c r="C103" s="12"/>
      <c r="D103" s="10"/>
      <c r="E103" s="15"/>
      <c r="F103" s="10"/>
      <c r="G103" s="11"/>
    </row>
    <row r="104" spans="2:7" x14ac:dyDescent="0.25">
      <c r="B104" s="30"/>
      <c r="C104" s="12"/>
      <c r="D104" s="10"/>
      <c r="E104" s="15"/>
      <c r="F104" s="10"/>
      <c r="G104" s="11"/>
    </row>
    <row r="105" spans="2:7" x14ac:dyDescent="0.25">
      <c r="B105" s="30"/>
      <c r="C105" s="12"/>
      <c r="D105" s="10"/>
      <c r="E105" s="15"/>
      <c r="F105" s="10"/>
      <c r="G105" s="11"/>
    </row>
    <row r="106" spans="2:7" x14ac:dyDescent="0.25">
      <c r="B106" s="30"/>
      <c r="C106" s="12"/>
      <c r="D106" s="10"/>
      <c r="E106" s="15"/>
      <c r="F106" s="10"/>
      <c r="G106" s="11"/>
    </row>
    <row r="107" spans="2:7" x14ac:dyDescent="0.25">
      <c r="B107" s="30"/>
      <c r="C107" s="12"/>
      <c r="D107" s="10"/>
      <c r="E107" s="15"/>
      <c r="F107" s="10"/>
      <c r="G107" s="11"/>
    </row>
    <row r="108" spans="2:7" x14ac:dyDescent="0.25">
      <c r="B108" s="30"/>
      <c r="C108" s="12"/>
      <c r="D108" s="10"/>
      <c r="E108" s="15"/>
      <c r="F108" s="10"/>
      <c r="G108" s="11"/>
    </row>
    <row r="109" spans="2:7" x14ac:dyDescent="0.25">
      <c r="B109" s="30"/>
      <c r="C109" s="12"/>
      <c r="D109" s="10"/>
      <c r="E109" s="15"/>
      <c r="F109" s="10"/>
      <c r="G109" s="11"/>
    </row>
    <row r="110" spans="2:7" x14ac:dyDescent="0.25">
      <c r="B110" s="5" t="s">
        <v>38</v>
      </c>
      <c r="C110" s="5" t="s">
        <v>38</v>
      </c>
      <c r="D110" s="5"/>
      <c r="E110" s="5"/>
      <c r="F110" s="5"/>
      <c r="G110" s="6">
        <f>SUM(G10:G109)</f>
        <v>0</v>
      </c>
    </row>
  </sheetData>
  <autoFilter ref="B9:G93" xr:uid="{00000000-0001-0000-0200-000000000000}"/>
  <mergeCells count="3">
    <mergeCell ref="B1:K1"/>
    <mergeCell ref="B8:G8"/>
    <mergeCell ref="I8:K8"/>
  </mergeCells>
  <dataValidations count="1">
    <dataValidation type="list" allowBlank="1" showInputMessage="1" showErrorMessage="1" sqref="F10:F109" xr:uid="{41C0AB97-4228-4651-B5E5-B1F8E1407914}">
      <formula1>$I$10:$I$20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80828D-7660-4454-A75F-403950F657DC}">
          <x14:formula1>
            <xm:f>Resumo!$B$6:$B$17</xm:f>
          </x14:formula1>
          <xm:sqref>D2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2264-D28D-4321-B23C-8811A5034258}">
  <sheetPr>
    <tabColor theme="4"/>
  </sheetPr>
  <dimension ref="A1:M61"/>
  <sheetViews>
    <sheetView showGridLines="0" zoomScaleNormal="100" workbookViewId="0">
      <selection activeCell="L26" sqref="L26"/>
    </sheetView>
  </sheetViews>
  <sheetFormatPr defaultColWidth="8.7109375" defaultRowHeight="15" x14ac:dyDescent="0.25"/>
  <cols>
    <col min="1" max="1" width="2" customWidth="1"/>
    <col min="2" max="2" width="22" customWidth="1"/>
    <col min="3" max="3" width="14" customWidth="1"/>
    <col min="4" max="4" width="4" customWidth="1"/>
    <col min="5" max="5" width="11" style="18" customWidth="1"/>
    <col min="6" max="6" width="26" customWidth="1"/>
    <col min="7" max="7" width="25.7109375" bestFit="1" customWidth="1"/>
    <col min="8" max="8" width="12" customWidth="1"/>
    <col min="9" max="9" width="12.7109375" customWidth="1"/>
    <col min="10" max="10" width="2" customWidth="1"/>
    <col min="11" max="11" width="26" customWidth="1"/>
    <col min="12" max="12" width="13" customWidth="1"/>
    <col min="13" max="13" width="9.7109375" customWidth="1"/>
  </cols>
  <sheetData>
    <row r="1" spans="1:13" ht="24" customHeight="1" x14ac:dyDescent="0.25">
      <c r="B1" s="45" t="s">
        <v>25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x14ac:dyDescent="0.25">
      <c r="B2" s="7" t="s">
        <v>26</v>
      </c>
      <c r="C2" s="9" t="s">
        <v>10</v>
      </c>
      <c r="D2" s="8" t="s">
        <v>27</v>
      </c>
    </row>
    <row r="4" spans="1:13" x14ac:dyDescent="0.25">
      <c r="B4" s="5" t="s">
        <v>28</v>
      </c>
      <c r="C4" s="6">
        <f>C21</f>
        <v>0</v>
      </c>
      <c r="G4" s="5" t="s">
        <v>71</v>
      </c>
      <c r="H4" s="6">
        <f>SUMIF($I$11:$I$60,"Pago",$H$11:$H$60)</f>
        <v>0</v>
      </c>
    </row>
    <row r="5" spans="1:13" x14ac:dyDescent="0.25">
      <c r="B5" s="5" t="s">
        <v>29</v>
      </c>
      <c r="C5" s="6">
        <f>L20</f>
        <v>0</v>
      </c>
      <c r="G5" s="5" t="s">
        <v>72</v>
      </c>
      <c r="H5" s="6">
        <f>SUMIF($I$11:$I$60,"Não pago",$H$11:$H$60)</f>
        <v>0</v>
      </c>
    </row>
    <row r="6" spans="1:13" x14ac:dyDescent="0.25">
      <c r="B6" s="5" t="s">
        <v>30</v>
      </c>
      <c r="C6" s="6">
        <f>C4-C5</f>
        <v>0</v>
      </c>
    </row>
    <row r="8" spans="1:13" x14ac:dyDescent="0.25">
      <c r="A8" s="18"/>
      <c r="B8" s="18"/>
      <c r="C8" s="18"/>
      <c r="D8" s="18"/>
    </row>
    <row r="9" spans="1:13" ht="16.5" x14ac:dyDescent="0.25">
      <c r="B9" s="45" t="s">
        <v>31</v>
      </c>
      <c r="C9" s="45"/>
      <c r="E9" s="45" t="s">
        <v>32</v>
      </c>
      <c r="F9" s="45"/>
      <c r="G9" s="45"/>
      <c r="H9" s="45"/>
      <c r="I9" s="45"/>
      <c r="K9" s="45" t="s">
        <v>33</v>
      </c>
      <c r="L9" s="45"/>
      <c r="M9" s="45"/>
    </row>
    <row r="10" spans="1:13" x14ac:dyDescent="0.25">
      <c r="B10" s="1" t="s">
        <v>34</v>
      </c>
      <c r="C10" s="1" t="s">
        <v>35</v>
      </c>
      <c r="E10" s="17" t="s">
        <v>36</v>
      </c>
      <c r="F10" s="1" t="s">
        <v>34</v>
      </c>
      <c r="G10" s="1" t="s">
        <v>37</v>
      </c>
      <c r="H10" s="1" t="s">
        <v>35</v>
      </c>
      <c r="I10" s="1" t="s">
        <v>70</v>
      </c>
      <c r="K10" s="1" t="s">
        <v>37</v>
      </c>
      <c r="L10" s="1" t="s">
        <v>38</v>
      </c>
      <c r="M10" s="1" t="s">
        <v>39</v>
      </c>
    </row>
    <row r="11" spans="1:13" x14ac:dyDescent="0.25">
      <c r="B11" s="10"/>
      <c r="C11" s="11"/>
      <c r="E11" s="16"/>
      <c r="F11" s="10"/>
      <c r="G11" s="10"/>
      <c r="H11" s="20"/>
      <c r="I11" s="23"/>
      <c r="K11" s="21" t="s">
        <v>40</v>
      </c>
      <c r="L11" s="4">
        <f t="shared" ref="L11:L18" si="0">SUMIF($G$11:$G$60,K11,$H$11:$H$60)</f>
        <v>0</v>
      </c>
      <c r="M11" s="13">
        <f t="shared" ref="M11:M18" si="1">IF($L$20=0,0,L11/$L$20)</f>
        <v>0</v>
      </c>
    </row>
    <row r="12" spans="1:13" x14ac:dyDescent="0.25">
      <c r="B12" s="10"/>
      <c r="C12" s="11"/>
      <c r="E12" s="16"/>
      <c r="F12" s="10"/>
      <c r="G12" s="10"/>
      <c r="H12" s="20"/>
      <c r="I12" s="23"/>
      <c r="K12" s="21" t="s">
        <v>41</v>
      </c>
      <c r="L12" s="4">
        <f t="shared" si="0"/>
        <v>0</v>
      </c>
      <c r="M12" s="13">
        <f t="shared" si="1"/>
        <v>0</v>
      </c>
    </row>
    <row r="13" spans="1:13" x14ac:dyDescent="0.25">
      <c r="B13" s="10"/>
      <c r="C13" s="11"/>
      <c r="E13" s="16"/>
      <c r="F13" s="10"/>
      <c r="G13" s="10"/>
      <c r="H13" s="20"/>
      <c r="I13" s="23"/>
      <c r="K13" s="21" t="s">
        <v>42</v>
      </c>
      <c r="L13" s="4">
        <f t="shared" si="0"/>
        <v>0</v>
      </c>
      <c r="M13" s="13">
        <f t="shared" si="1"/>
        <v>0</v>
      </c>
    </row>
    <row r="14" spans="1:13" x14ac:dyDescent="0.25">
      <c r="B14" s="10"/>
      <c r="C14" s="11"/>
      <c r="E14" s="16"/>
      <c r="F14" s="10"/>
      <c r="G14" s="10"/>
      <c r="H14" s="20"/>
      <c r="I14" s="23"/>
      <c r="K14" s="21" t="s">
        <v>43</v>
      </c>
      <c r="L14" s="4">
        <f t="shared" si="0"/>
        <v>0</v>
      </c>
      <c r="M14" s="13">
        <f t="shared" si="1"/>
        <v>0</v>
      </c>
    </row>
    <row r="15" spans="1:13" x14ac:dyDescent="0.25">
      <c r="B15" s="10"/>
      <c r="C15" s="11"/>
      <c r="E15" s="16"/>
      <c r="F15" s="10"/>
      <c r="G15" s="10"/>
      <c r="H15" s="20"/>
      <c r="I15" s="23"/>
      <c r="K15" s="21" t="s">
        <v>44</v>
      </c>
      <c r="L15" s="4">
        <f t="shared" si="0"/>
        <v>0</v>
      </c>
      <c r="M15" s="13">
        <f t="shared" si="1"/>
        <v>0</v>
      </c>
    </row>
    <row r="16" spans="1:13" x14ac:dyDescent="0.25">
      <c r="B16" s="10"/>
      <c r="C16" s="11"/>
      <c r="E16" s="16"/>
      <c r="F16" s="10"/>
      <c r="G16" s="10"/>
      <c r="H16" s="20"/>
      <c r="I16" s="23"/>
      <c r="K16" s="21" t="s">
        <v>45</v>
      </c>
      <c r="L16" s="4">
        <f t="shared" si="0"/>
        <v>0</v>
      </c>
      <c r="M16" s="13">
        <f t="shared" si="1"/>
        <v>0</v>
      </c>
    </row>
    <row r="17" spans="2:13" x14ac:dyDescent="0.25">
      <c r="B17" s="10"/>
      <c r="C17" s="11"/>
      <c r="E17" s="16"/>
      <c r="F17" s="10"/>
      <c r="G17" s="10"/>
      <c r="H17" s="20"/>
      <c r="I17" s="23"/>
      <c r="K17" s="21" t="s">
        <v>46</v>
      </c>
      <c r="L17" s="4">
        <f t="shared" si="0"/>
        <v>0</v>
      </c>
      <c r="M17" s="13">
        <f t="shared" si="1"/>
        <v>0</v>
      </c>
    </row>
    <row r="18" spans="2:13" x14ac:dyDescent="0.25">
      <c r="B18" s="10"/>
      <c r="C18" s="11"/>
      <c r="E18" s="16"/>
      <c r="F18" s="10"/>
      <c r="G18" s="10"/>
      <c r="H18" s="20"/>
      <c r="I18" s="23"/>
      <c r="K18" s="21" t="s">
        <v>47</v>
      </c>
      <c r="L18" s="4">
        <f t="shared" si="0"/>
        <v>0</v>
      </c>
      <c r="M18" s="13">
        <f t="shared" si="1"/>
        <v>0</v>
      </c>
    </row>
    <row r="19" spans="2:13" x14ac:dyDescent="0.25">
      <c r="B19" s="10"/>
      <c r="C19" s="11"/>
      <c r="E19" s="16"/>
      <c r="F19" s="10"/>
      <c r="G19" s="10"/>
      <c r="H19" s="20"/>
      <c r="I19" s="23"/>
      <c r="K19" s="21" t="s">
        <v>48</v>
      </c>
      <c r="L19" s="3">
        <f>IFERROR('Abril-Cartão'!D4,0)</f>
        <v>0</v>
      </c>
      <c r="M19" s="13">
        <f>IF($L$20=0,0,L19/$L$20)</f>
        <v>0</v>
      </c>
    </row>
    <row r="20" spans="2:13" x14ac:dyDescent="0.25">
      <c r="B20" s="10"/>
      <c r="C20" s="11"/>
      <c r="E20" s="16"/>
      <c r="F20" s="10"/>
      <c r="G20" s="10"/>
      <c r="H20" s="20"/>
      <c r="I20" s="23"/>
      <c r="K20" s="22" t="s">
        <v>38</v>
      </c>
      <c r="L20" s="6">
        <f>SUM(L11:L19)</f>
        <v>0</v>
      </c>
      <c r="M20" s="14">
        <f>IF(L20=0,0,L20/L20)</f>
        <v>0</v>
      </c>
    </row>
    <row r="21" spans="2:13" x14ac:dyDescent="0.25">
      <c r="B21" s="5" t="s">
        <v>38</v>
      </c>
      <c r="C21" s="6">
        <f>SUM(C11:C20)</f>
        <v>0</v>
      </c>
      <c r="E21" s="16"/>
      <c r="F21" s="10"/>
      <c r="G21" s="10"/>
      <c r="H21" s="20"/>
      <c r="I21" s="23"/>
    </row>
    <row r="22" spans="2:13" x14ac:dyDescent="0.25">
      <c r="E22" s="16"/>
      <c r="F22" s="10"/>
      <c r="G22" s="10"/>
      <c r="H22" s="20"/>
      <c r="I22" s="23"/>
      <c r="K22" s="44" t="s">
        <v>49</v>
      </c>
      <c r="L22" s="44"/>
      <c r="M22" s="44"/>
    </row>
    <row r="23" spans="2:13" x14ac:dyDescent="0.25">
      <c r="E23" s="16"/>
      <c r="F23" s="10"/>
      <c r="G23" s="10"/>
      <c r="H23" s="20"/>
      <c r="I23" s="23"/>
      <c r="K23" s="44"/>
      <c r="L23" s="44"/>
      <c r="M23" s="44"/>
    </row>
    <row r="24" spans="2:13" x14ac:dyDescent="0.25">
      <c r="E24" s="16"/>
      <c r="F24" s="10"/>
      <c r="G24" s="10"/>
      <c r="H24" s="20"/>
      <c r="I24" s="23"/>
    </row>
    <row r="25" spans="2:13" x14ac:dyDescent="0.25">
      <c r="E25" s="16"/>
      <c r="F25" s="10"/>
      <c r="G25" s="10"/>
      <c r="H25" s="20"/>
      <c r="I25" s="23"/>
    </row>
    <row r="26" spans="2:13" x14ac:dyDescent="0.25">
      <c r="E26" s="16"/>
      <c r="F26" s="10"/>
      <c r="G26" s="10"/>
      <c r="H26" s="20"/>
      <c r="I26" s="23"/>
    </row>
    <row r="27" spans="2:13" x14ac:dyDescent="0.25">
      <c r="E27" s="16"/>
      <c r="F27" s="10"/>
      <c r="G27" s="10"/>
      <c r="H27" s="20"/>
      <c r="I27" s="23"/>
    </row>
    <row r="28" spans="2:13" x14ac:dyDescent="0.25">
      <c r="E28" s="16"/>
      <c r="F28" s="10"/>
      <c r="G28" s="10"/>
      <c r="H28" s="20"/>
      <c r="I28" s="23"/>
    </row>
    <row r="29" spans="2:13" x14ac:dyDescent="0.25">
      <c r="E29" s="16"/>
      <c r="F29" s="10"/>
      <c r="G29" s="10"/>
      <c r="H29" s="20"/>
      <c r="I29" s="23"/>
    </row>
    <row r="30" spans="2:13" x14ac:dyDescent="0.25">
      <c r="E30" s="16"/>
      <c r="F30" s="10"/>
      <c r="G30" s="10"/>
      <c r="H30" s="20"/>
      <c r="I30" s="23"/>
    </row>
    <row r="31" spans="2:13" x14ac:dyDescent="0.25">
      <c r="E31" s="16"/>
      <c r="F31" s="10"/>
      <c r="G31" s="10"/>
      <c r="H31" s="20"/>
      <c r="I31" s="23"/>
    </row>
    <row r="32" spans="2:13" x14ac:dyDescent="0.25">
      <c r="E32" s="16"/>
      <c r="F32" s="10"/>
      <c r="G32" s="10"/>
      <c r="H32" s="20"/>
      <c r="I32" s="23"/>
    </row>
    <row r="33" spans="5:9" x14ac:dyDescent="0.25">
      <c r="E33" s="16"/>
      <c r="F33" s="10"/>
      <c r="G33" s="10"/>
      <c r="H33" s="20"/>
      <c r="I33" s="23"/>
    </row>
    <row r="34" spans="5:9" x14ac:dyDescent="0.25">
      <c r="E34" s="16"/>
      <c r="F34" s="10"/>
      <c r="G34" s="10"/>
      <c r="H34" s="20"/>
      <c r="I34" s="23"/>
    </row>
    <row r="35" spans="5:9" x14ac:dyDescent="0.25">
      <c r="E35" s="16"/>
      <c r="F35" s="10"/>
      <c r="G35" s="10"/>
      <c r="H35" s="20"/>
      <c r="I35" s="23"/>
    </row>
    <row r="36" spans="5:9" x14ac:dyDescent="0.25">
      <c r="E36" s="16"/>
      <c r="F36" s="10"/>
      <c r="G36" s="10"/>
      <c r="H36" s="20"/>
      <c r="I36" s="23"/>
    </row>
    <row r="37" spans="5:9" x14ac:dyDescent="0.25">
      <c r="E37" s="16"/>
      <c r="F37" s="10"/>
      <c r="G37" s="10"/>
      <c r="H37" s="20"/>
      <c r="I37" s="23"/>
    </row>
    <row r="38" spans="5:9" x14ac:dyDescent="0.25">
      <c r="E38" s="16"/>
      <c r="F38" s="10"/>
      <c r="G38" s="10"/>
      <c r="H38" s="20"/>
      <c r="I38" s="23"/>
    </row>
    <row r="39" spans="5:9" x14ac:dyDescent="0.25">
      <c r="E39" s="16"/>
      <c r="F39" s="10"/>
      <c r="G39" s="10"/>
      <c r="H39" s="20"/>
      <c r="I39" s="23"/>
    </row>
    <row r="40" spans="5:9" x14ac:dyDescent="0.25">
      <c r="E40" s="16"/>
      <c r="F40" s="10"/>
      <c r="G40" s="10"/>
      <c r="H40" s="20"/>
      <c r="I40" s="23"/>
    </row>
    <row r="41" spans="5:9" x14ac:dyDescent="0.25">
      <c r="E41" s="16"/>
      <c r="F41" s="10"/>
      <c r="G41" s="10"/>
      <c r="H41" s="20"/>
      <c r="I41" s="23"/>
    </row>
    <row r="42" spans="5:9" x14ac:dyDescent="0.25">
      <c r="E42" s="16"/>
      <c r="F42" s="10"/>
      <c r="G42" s="10"/>
      <c r="H42" s="20"/>
      <c r="I42" s="23"/>
    </row>
    <row r="43" spans="5:9" x14ac:dyDescent="0.25">
      <c r="E43" s="16"/>
      <c r="F43" s="10"/>
      <c r="G43" s="10"/>
      <c r="H43" s="20"/>
      <c r="I43" s="23"/>
    </row>
    <row r="44" spans="5:9" x14ac:dyDescent="0.25">
      <c r="E44" s="16"/>
      <c r="F44" s="10"/>
      <c r="G44" s="10"/>
      <c r="H44" s="20"/>
      <c r="I44" s="23"/>
    </row>
    <row r="45" spans="5:9" x14ac:dyDescent="0.25">
      <c r="E45" s="16"/>
      <c r="F45" s="10"/>
      <c r="G45" s="10"/>
      <c r="H45" s="20"/>
      <c r="I45" s="23"/>
    </row>
    <row r="46" spans="5:9" x14ac:dyDescent="0.25">
      <c r="E46" s="16"/>
      <c r="F46" s="10"/>
      <c r="G46" s="10"/>
      <c r="H46" s="20"/>
      <c r="I46" s="23"/>
    </row>
    <row r="47" spans="5:9" x14ac:dyDescent="0.25">
      <c r="E47" s="16"/>
      <c r="F47" s="10"/>
      <c r="G47" s="10"/>
      <c r="H47" s="20"/>
      <c r="I47" s="23"/>
    </row>
    <row r="48" spans="5:9" x14ac:dyDescent="0.25">
      <c r="E48" s="16"/>
      <c r="F48" s="10"/>
      <c r="G48" s="10"/>
      <c r="H48" s="20"/>
      <c r="I48" s="23"/>
    </row>
    <row r="49" spans="5:10" x14ac:dyDescent="0.25">
      <c r="E49" s="16"/>
      <c r="F49" s="10"/>
      <c r="G49" s="10"/>
      <c r="H49" s="20"/>
      <c r="I49" s="23"/>
    </row>
    <row r="50" spans="5:10" x14ac:dyDescent="0.25">
      <c r="E50" s="16"/>
      <c r="F50" s="10"/>
      <c r="G50" s="10"/>
      <c r="H50" s="20"/>
      <c r="I50" s="23"/>
    </row>
    <row r="51" spans="5:10" x14ac:dyDescent="0.25">
      <c r="E51" s="16"/>
      <c r="F51" s="10"/>
      <c r="G51" s="10"/>
      <c r="H51" s="20"/>
      <c r="I51" s="23"/>
    </row>
    <row r="52" spans="5:10" x14ac:dyDescent="0.25">
      <c r="E52" s="16"/>
      <c r="F52" s="10"/>
      <c r="G52" s="10"/>
      <c r="H52" s="20"/>
      <c r="I52" s="23"/>
      <c r="J52" s="24"/>
    </row>
    <row r="53" spans="5:10" x14ac:dyDescent="0.25">
      <c r="E53" s="16"/>
      <c r="F53" s="10"/>
      <c r="G53" s="10"/>
      <c r="H53" s="20"/>
      <c r="I53" s="23"/>
      <c r="J53" s="24"/>
    </row>
    <row r="54" spans="5:10" x14ac:dyDescent="0.25">
      <c r="E54" s="16"/>
      <c r="F54" s="10"/>
      <c r="G54" s="10"/>
      <c r="H54" s="20"/>
      <c r="I54" s="23"/>
      <c r="J54" s="24"/>
    </row>
    <row r="55" spans="5:10" x14ac:dyDescent="0.25">
      <c r="E55" s="16"/>
      <c r="F55" s="10"/>
      <c r="G55" s="10"/>
      <c r="H55" s="20"/>
      <c r="I55" s="23"/>
      <c r="J55" s="24"/>
    </row>
    <row r="56" spans="5:10" x14ac:dyDescent="0.25">
      <c r="E56" s="16"/>
      <c r="F56" s="10"/>
      <c r="G56" s="10"/>
      <c r="H56" s="20"/>
      <c r="I56" s="23"/>
      <c r="J56" s="24"/>
    </row>
    <row r="57" spans="5:10" x14ac:dyDescent="0.25">
      <c r="E57" s="16"/>
      <c r="F57" s="10"/>
      <c r="G57" s="10"/>
      <c r="H57" s="20"/>
      <c r="I57" s="23"/>
      <c r="J57" s="24"/>
    </row>
    <row r="58" spans="5:10" x14ac:dyDescent="0.25">
      <c r="E58" s="16"/>
      <c r="F58" s="10"/>
      <c r="G58" s="10"/>
      <c r="H58" s="20"/>
      <c r="I58" s="23"/>
      <c r="J58" s="24"/>
    </row>
    <row r="59" spans="5:10" x14ac:dyDescent="0.25">
      <c r="E59" s="16"/>
      <c r="F59" s="10"/>
      <c r="G59" s="10"/>
      <c r="H59" s="20"/>
      <c r="I59" s="23"/>
      <c r="J59" s="24"/>
    </row>
    <row r="60" spans="5:10" x14ac:dyDescent="0.25">
      <c r="E60" s="16"/>
      <c r="F60" s="10"/>
      <c r="G60" s="10"/>
      <c r="H60" s="20"/>
      <c r="I60" s="23"/>
      <c r="J60" s="24"/>
    </row>
    <row r="61" spans="5:10" x14ac:dyDescent="0.25">
      <c r="E61" s="19" t="s">
        <v>50</v>
      </c>
      <c r="F61" s="5"/>
      <c r="G61" s="5"/>
      <c r="H61" s="6">
        <f>SUM(H11:H60)</f>
        <v>0</v>
      </c>
    </row>
  </sheetData>
  <mergeCells count="5">
    <mergeCell ref="B1:M1"/>
    <mergeCell ref="B9:C9"/>
    <mergeCell ref="E9:I9"/>
    <mergeCell ref="K9:M9"/>
    <mergeCell ref="K22:M23"/>
  </mergeCells>
  <conditionalFormatting sqref="I11:I51 I52:J60">
    <cfRule type="cellIs" dxfId="19" priority="1" operator="equal">
      <formula>"Pago"</formula>
    </cfRule>
    <cfRule type="cellIs" dxfId="18" priority="2" operator="equal">
      <formula>"Não pago"</formula>
    </cfRule>
  </conditionalFormatting>
  <dataValidations count="2">
    <dataValidation type="list" allowBlank="1" showInputMessage="1" showErrorMessage="1" sqref="J52:J60 I11:I60" xr:uid="{4D8962B0-65B7-452E-BC1D-26197B9FE2FC}">
      <formula1>"Pago,Não pago"</formula1>
    </dataValidation>
    <dataValidation type="list" allowBlank="1" error="Escolha uma categoria da lista" sqref="G11:G60" xr:uid="{0F6848B5-6449-4535-B9F1-2081AF5CE21B}">
      <formula1>$K$11:$K$18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B736F8-0CF3-4CFE-A058-E5C30DCFA1D7}">
          <x14:formula1>
            <xm:f>Resumo!$B$6:$B$17</xm:f>
          </x14:formula1>
          <xm:sqref>C2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34517-2EB0-43E0-A101-0BBEF5541033}">
  <sheetPr>
    <tabColor theme="4"/>
  </sheetPr>
  <dimension ref="B1:K110"/>
  <sheetViews>
    <sheetView showGridLines="0" zoomScaleNormal="100" workbookViewId="0">
      <selection activeCell="L26" sqref="L26"/>
    </sheetView>
  </sheetViews>
  <sheetFormatPr defaultColWidth="8.7109375" defaultRowHeight="15" x14ac:dyDescent="0.25"/>
  <cols>
    <col min="1" max="1" width="2" customWidth="1"/>
    <col min="2" max="2" width="15.5703125" customWidth="1"/>
    <col min="3" max="3" width="15" bestFit="1" customWidth="1"/>
    <col min="4" max="4" width="30" customWidth="1"/>
    <col min="5" max="5" width="9" customWidth="1"/>
    <col min="6" max="6" width="24" customWidth="1"/>
    <col min="7" max="7" width="12" customWidth="1"/>
    <col min="8" max="8" width="2" customWidth="1"/>
    <col min="9" max="9" width="24" customWidth="1"/>
    <col min="10" max="10" width="13" customWidth="1"/>
    <col min="11" max="11" width="8" customWidth="1"/>
  </cols>
  <sheetData>
    <row r="1" spans="2:11" ht="24" customHeight="1" x14ac:dyDescent="0.25">
      <c r="B1" s="45" t="s">
        <v>51</v>
      </c>
      <c r="C1" s="45"/>
      <c r="D1" s="45"/>
      <c r="E1" s="45"/>
      <c r="F1" s="45"/>
      <c r="G1" s="45"/>
      <c r="H1" s="45"/>
      <c r="I1" s="45"/>
      <c r="J1" s="45"/>
      <c r="K1" s="45"/>
    </row>
    <row r="2" spans="2:11" x14ac:dyDescent="0.25">
      <c r="C2" s="7" t="s">
        <v>26</v>
      </c>
      <c r="D2" s="9" t="s">
        <v>10</v>
      </c>
      <c r="E2" s="8" t="s">
        <v>52</v>
      </c>
    </row>
    <row r="3" spans="2:11" x14ac:dyDescent="0.25">
      <c r="I3" s="5" t="s">
        <v>145</v>
      </c>
      <c r="J3" s="6">
        <f>SUMIFS(G:G,B:B,I3)</f>
        <v>0</v>
      </c>
    </row>
    <row r="4" spans="2:11" x14ac:dyDescent="0.25">
      <c r="C4" s="5" t="s">
        <v>53</v>
      </c>
      <c r="D4" s="6">
        <f>G110</f>
        <v>0</v>
      </c>
      <c r="I4" s="5" t="s">
        <v>146</v>
      </c>
      <c r="J4" s="6">
        <f>SUMIFS(G:G,B:B,I4)</f>
        <v>0</v>
      </c>
    </row>
    <row r="5" spans="2:11" x14ac:dyDescent="0.25">
      <c r="I5" s="5" t="s">
        <v>147</v>
      </c>
      <c r="J5" s="6">
        <f>SUMIFS(G:G,B:B,I5)</f>
        <v>0</v>
      </c>
    </row>
    <row r="6" spans="2:11" x14ac:dyDescent="0.25">
      <c r="I6" s="43" t="s">
        <v>148</v>
      </c>
      <c r="J6" s="6">
        <f>SUM(J3:J5)</f>
        <v>0</v>
      </c>
    </row>
    <row r="8" spans="2:11" ht="16.5" x14ac:dyDescent="0.25">
      <c r="B8" s="45" t="s">
        <v>54</v>
      </c>
      <c r="C8" s="45"/>
      <c r="D8" s="45"/>
      <c r="E8" s="45"/>
      <c r="F8" s="45"/>
      <c r="G8" s="45"/>
      <c r="I8" s="45" t="s">
        <v>55</v>
      </c>
      <c r="J8" s="45"/>
      <c r="K8" s="45"/>
    </row>
    <row r="9" spans="2:11" x14ac:dyDescent="0.25">
      <c r="B9" s="1" t="s">
        <v>144</v>
      </c>
      <c r="C9" s="1" t="s">
        <v>36</v>
      </c>
      <c r="D9" s="1" t="s">
        <v>34</v>
      </c>
      <c r="E9" s="1" t="s">
        <v>56</v>
      </c>
      <c r="F9" s="1" t="s">
        <v>37</v>
      </c>
      <c r="G9" s="1" t="s">
        <v>35</v>
      </c>
      <c r="I9" s="1" t="s">
        <v>37</v>
      </c>
      <c r="J9" s="1" t="s">
        <v>38</v>
      </c>
      <c r="K9" s="1" t="s">
        <v>39</v>
      </c>
    </row>
    <row r="10" spans="2:11" x14ac:dyDescent="0.25">
      <c r="B10" s="16"/>
      <c r="C10" s="16"/>
      <c r="D10" s="31"/>
      <c r="E10" s="32"/>
      <c r="F10" s="31"/>
      <c r="G10" s="33"/>
      <c r="I10" s="40" t="s">
        <v>42</v>
      </c>
      <c r="J10" s="41">
        <f t="shared" ref="J10:J20" si="0">SUMIF($F$10:$F$109,I10,$G$10:$G$109)</f>
        <v>0</v>
      </c>
      <c r="K10" s="42">
        <f t="shared" ref="K10:K20" si="1">IF($J$21=0,0,J10/$J$21)</f>
        <v>0</v>
      </c>
    </row>
    <row r="11" spans="2:11" x14ac:dyDescent="0.25">
      <c r="B11" s="16"/>
      <c r="C11" s="16"/>
      <c r="D11" s="31"/>
      <c r="E11" s="32"/>
      <c r="F11" s="31"/>
      <c r="G11" s="33"/>
      <c r="I11" s="40" t="s">
        <v>57</v>
      </c>
      <c r="J11" s="41">
        <f t="shared" si="0"/>
        <v>0</v>
      </c>
      <c r="K11" s="42">
        <f t="shared" si="1"/>
        <v>0</v>
      </c>
    </row>
    <row r="12" spans="2:11" x14ac:dyDescent="0.25">
      <c r="B12" s="16"/>
      <c r="C12" s="16"/>
      <c r="D12" s="31"/>
      <c r="E12" s="32"/>
      <c r="F12" s="31"/>
      <c r="G12" s="33"/>
      <c r="I12" s="40" t="s">
        <v>58</v>
      </c>
      <c r="J12" s="41">
        <f t="shared" si="0"/>
        <v>0</v>
      </c>
      <c r="K12" s="42">
        <f t="shared" si="1"/>
        <v>0</v>
      </c>
    </row>
    <row r="13" spans="2:11" x14ac:dyDescent="0.25">
      <c r="B13" s="16"/>
      <c r="C13" s="16"/>
      <c r="D13" s="31"/>
      <c r="E13" s="32"/>
      <c r="F13" s="31"/>
      <c r="G13" s="33"/>
      <c r="I13" s="40" t="s">
        <v>59</v>
      </c>
      <c r="J13" s="41">
        <f t="shared" si="0"/>
        <v>0</v>
      </c>
      <c r="K13" s="42">
        <f t="shared" si="1"/>
        <v>0</v>
      </c>
    </row>
    <row r="14" spans="2:11" x14ac:dyDescent="0.25">
      <c r="B14" s="29"/>
      <c r="C14" s="29"/>
      <c r="D14" s="34"/>
      <c r="E14" s="35"/>
      <c r="F14" s="34"/>
      <c r="G14" s="36"/>
      <c r="I14" s="40" t="s">
        <v>60</v>
      </c>
      <c r="J14" s="41">
        <f t="shared" si="0"/>
        <v>0</v>
      </c>
      <c r="K14" s="42">
        <f t="shared" si="1"/>
        <v>0</v>
      </c>
    </row>
    <row r="15" spans="2:11" x14ac:dyDescent="0.25">
      <c r="B15" s="30"/>
      <c r="C15" s="30"/>
      <c r="D15" s="37"/>
      <c r="E15" s="38"/>
      <c r="F15" s="37"/>
      <c r="G15" s="39"/>
      <c r="I15" s="40" t="s">
        <v>61</v>
      </c>
      <c r="J15" s="41">
        <f t="shared" si="0"/>
        <v>0</v>
      </c>
      <c r="K15" s="42">
        <f t="shared" si="1"/>
        <v>0</v>
      </c>
    </row>
    <row r="16" spans="2:11" x14ac:dyDescent="0.25">
      <c r="B16" s="30"/>
      <c r="C16" s="30"/>
      <c r="D16" s="37"/>
      <c r="E16" s="38"/>
      <c r="F16" s="37"/>
      <c r="G16" s="39"/>
      <c r="I16" s="40" t="s">
        <v>62</v>
      </c>
      <c r="J16" s="41">
        <f t="shared" si="0"/>
        <v>0</v>
      </c>
      <c r="K16" s="42">
        <f t="shared" si="1"/>
        <v>0</v>
      </c>
    </row>
    <row r="17" spans="2:11" x14ac:dyDescent="0.25">
      <c r="B17" s="30"/>
      <c r="C17" s="30"/>
      <c r="D17" s="37"/>
      <c r="E17" s="38"/>
      <c r="F17" s="37"/>
      <c r="G17" s="39"/>
      <c r="I17" s="40" t="s">
        <v>46</v>
      </c>
      <c r="J17" s="41">
        <f t="shared" si="0"/>
        <v>0</v>
      </c>
      <c r="K17" s="42">
        <f t="shared" si="1"/>
        <v>0</v>
      </c>
    </row>
    <row r="18" spans="2:11" x14ac:dyDescent="0.25">
      <c r="B18" s="30"/>
      <c r="C18" s="30"/>
      <c r="D18" s="37"/>
      <c r="E18" s="38"/>
      <c r="F18" s="37"/>
      <c r="G18" s="39"/>
      <c r="I18" s="40" t="s">
        <v>63</v>
      </c>
      <c r="J18" s="41">
        <f t="shared" si="0"/>
        <v>0</v>
      </c>
      <c r="K18" s="42">
        <f t="shared" si="1"/>
        <v>0</v>
      </c>
    </row>
    <row r="19" spans="2:11" x14ac:dyDescent="0.25">
      <c r="B19" s="30"/>
      <c r="C19" s="30"/>
      <c r="D19" s="37"/>
      <c r="E19" s="38"/>
      <c r="F19" s="37"/>
      <c r="G19" s="39"/>
      <c r="I19" s="40" t="s">
        <v>45</v>
      </c>
      <c r="J19" s="41">
        <f t="shared" si="0"/>
        <v>0</v>
      </c>
      <c r="K19" s="42">
        <f t="shared" si="1"/>
        <v>0</v>
      </c>
    </row>
    <row r="20" spans="2:11" x14ac:dyDescent="0.25">
      <c r="B20" s="30"/>
      <c r="C20" s="30"/>
      <c r="D20" s="37"/>
      <c r="E20" s="38"/>
      <c r="F20" s="37"/>
      <c r="G20" s="39"/>
      <c r="I20" s="40" t="s">
        <v>47</v>
      </c>
      <c r="J20" s="41">
        <f t="shared" si="0"/>
        <v>0</v>
      </c>
      <c r="K20" s="42">
        <f t="shared" si="1"/>
        <v>0</v>
      </c>
    </row>
    <row r="21" spans="2:11" x14ac:dyDescent="0.25">
      <c r="B21" s="30"/>
      <c r="C21" s="30"/>
      <c r="D21" s="37"/>
      <c r="E21" s="38"/>
      <c r="F21" s="37"/>
      <c r="G21" s="39"/>
      <c r="I21" s="5" t="s">
        <v>38</v>
      </c>
      <c r="J21" s="6">
        <f>SUM(J10:J20)</f>
        <v>0</v>
      </c>
      <c r="K21" s="14">
        <f>IF(J21=0,0,J21/J21)</f>
        <v>0</v>
      </c>
    </row>
    <row r="22" spans="2:11" x14ac:dyDescent="0.25">
      <c r="B22" s="30"/>
      <c r="C22" s="30"/>
      <c r="D22" s="37"/>
      <c r="E22" s="38"/>
      <c r="F22" s="37"/>
      <c r="G22" s="39"/>
    </row>
    <row r="23" spans="2:11" x14ac:dyDescent="0.25">
      <c r="B23" s="30"/>
      <c r="C23" s="30"/>
      <c r="D23" s="37"/>
      <c r="E23" s="38"/>
      <c r="F23" s="37"/>
      <c r="G23" s="39"/>
    </row>
    <row r="24" spans="2:11" x14ac:dyDescent="0.25">
      <c r="B24" s="30"/>
      <c r="C24" s="30"/>
      <c r="D24" s="37"/>
      <c r="E24" s="38"/>
      <c r="F24" s="37"/>
      <c r="G24" s="39"/>
    </row>
    <row r="25" spans="2:11" x14ac:dyDescent="0.25">
      <c r="B25" s="30"/>
      <c r="C25" s="30"/>
      <c r="D25" s="37"/>
      <c r="E25" s="38"/>
      <c r="F25" s="37"/>
      <c r="G25" s="39"/>
    </row>
    <row r="26" spans="2:11" x14ac:dyDescent="0.25">
      <c r="B26" s="30"/>
      <c r="C26" s="30"/>
      <c r="D26" s="37"/>
      <c r="E26" s="38"/>
      <c r="F26" s="37"/>
      <c r="G26" s="39"/>
    </row>
    <row r="27" spans="2:11" x14ac:dyDescent="0.25">
      <c r="B27" s="30"/>
      <c r="C27" s="30"/>
      <c r="D27" s="37"/>
      <c r="E27" s="38"/>
      <c r="F27" s="37"/>
      <c r="G27" s="39"/>
    </row>
    <row r="28" spans="2:11" x14ac:dyDescent="0.25">
      <c r="B28" s="30"/>
      <c r="C28" s="30"/>
      <c r="D28" s="37"/>
      <c r="E28" s="38"/>
      <c r="F28" s="37"/>
      <c r="G28" s="39"/>
    </row>
    <row r="29" spans="2:11" x14ac:dyDescent="0.25">
      <c r="B29" s="30"/>
      <c r="C29" s="30"/>
      <c r="D29" s="37"/>
      <c r="E29" s="38"/>
      <c r="F29" s="37"/>
      <c r="G29" s="39"/>
    </row>
    <row r="30" spans="2:11" x14ac:dyDescent="0.25">
      <c r="B30" s="30"/>
      <c r="C30" s="30"/>
      <c r="D30" s="37"/>
      <c r="E30" s="38"/>
      <c r="F30" s="37"/>
      <c r="G30" s="39"/>
    </row>
    <row r="31" spans="2:11" x14ac:dyDescent="0.25">
      <c r="B31" s="30"/>
      <c r="C31" s="30"/>
      <c r="D31" s="37"/>
      <c r="E31" s="38"/>
      <c r="F31" s="37"/>
      <c r="G31" s="39"/>
    </row>
    <row r="32" spans="2:11" x14ac:dyDescent="0.25">
      <c r="B32" s="30"/>
      <c r="C32" s="30"/>
      <c r="D32" s="37"/>
      <c r="E32" s="38"/>
      <c r="F32" s="37"/>
      <c r="G32" s="39"/>
    </row>
    <row r="33" spans="2:7" x14ac:dyDescent="0.25">
      <c r="B33" s="30"/>
      <c r="C33" s="30"/>
      <c r="D33" s="37"/>
      <c r="E33" s="38"/>
      <c r="F33" s="37"/>
      <c r="G33" s="39"/>
    </row>
    <row r="34" spans="2:7" x14ac:dyDescent="0.25">
      <c r="B34" s="30"/>
      <c r="C34" s="30"/>
      <c r="D34" s="37"/>
      <c r="E34" s="38"/>
      <c r="F34" s="37"/>
      <c r="G34" s="39"/>
    </row>
    <row r="35" spans="2:7" x14ac:dyDescent="0.25">
      <c r="B35" s="30"/>
      <c r="C35" s="30"/>
      <c r="D35" s="37"/>
      <c r="E35" s="38"/>
      <c r="F35" s="37"/>
      <c r="G35" s="39"/>
    </row>
    <row r="36" spans="2:7" x14ac:dyDescent="0.25">
      <c r="B36" s="30"/>
      <c r="C36" s="30"/>
      <c r="D36" s="37"/>
      <c r="E36" s="38"/>
      <c r="F36" s="37"/>
      <c r="G36" s="39"/>
    </row>
    <row r="37" spans="2:7" x14ac:dyDescent="0.25">
      <c r="B37" s="30"/>
      <c r="C37" s="30"/>
      <c r="D37" s="37"/>
      <c r="E37" s="38"/>
      <c r="F37" s="37"/>
      <c r="G37" s="39"/>
    </row>
    <row r="38" spans="2:7" x14ac:dyDescent="0.25">
      <c r="B38" s="30"/>
      <c r="C38" s="30"/>
      <c r="D38" s="37"/>
      <c r="E38" s="38"/>
      <c r="F38" s="37"/>
      <c r="G38" s="39"/>
    </row>
    <row r="39" spans="2:7" x14ac:dyDescent="0.25">
      <c r="B39" s="30"/>
      <c r="C39" s="30"/>
      <c r="D39" s="37"/>
      <c r="E39" s="38"/>
      <c r="F39" s="37"/>
      <c r="G39" s="39"/>
    </row>
    <row r="40" spans="2:7" x14ac:dyDescent="0.25">
      <c r="B40" s="30"/>
      <c r="C40" s="30"/>
      <c r="D40" s="37"/>
      <c r="E40" s="38"/>
      <c r="F40" s="37"/>
      <c r="G40" s="39"/>
    </row>
    <row r="41" spans="2:7" x14ac:dyDescent="0.25">
      <c r="B41" s="30"/>
      <c r="C41" s="30"/>
      <c r="D41" s="37"/>
      <c r="E41" s="38"/>
      <c r="F41" s="37"/>
      <c r="G41" s="39"/>
    </row>
    <row r="42" spans="2:7" x14ac:dyDescent="0.25">
      <c r="B42" s="30"/>
      <c r="C42" s="30"/>
      <c r="D42" s="37"/>
      <c r="E42" s="38"/>
      <c r="F42" s="37"/>
      <c r="G42" s="39"/>
    </row>
    <row r="43" spans="2:7" x14ac:dyDescent="0.25">
      <c r="B43" s="30"/>
      <c r="C43" s="30"/>
      <c r="D43" s="37"/>
      <c r="E43" s="38"/>
      <c r="F43" s="37"/>
      <c r="G43" s="39"/>
    </row>
    <row r="44" spans="2:7" x14ac:dyDescent="0.25">
      <c r="B44" s="30"/>
      <c r="C44" s="30"/>
      <c r="D44" s="37"/>
      <c r="E44" s="38"/>
      <c r="F44" s="37"/>
      <c r="G44" s="39"/>
    </row>
    <row r="45" spans="2:7" x14ac:dyDescent="0.25">
      <c r="B45" s="30"/>
      <c r="C45" s="30"/>
      <c r="D45" s="37"/>
      <c r="E45" s="38"/>
      <c r="F45" s="37"/>
      <c r="G45" s="39"/>
    </row>
    <row r="46" spans="2:7" x14ac:dyDescent="0.25">
      <c r="B46" s="30"/>
      <c r="C46" s="30"/>
      <c r="D46" s="37"/>
      <c r="E46" s="38"/>
      <c r="F46" s="37"/>
      <c r="G46" s="39"/>
    </row>
    <row r="47" spans="2:7" x14ac:dyDescent="0.25">
      <c r="B47" s="30"/>
      <c r="C47" s="30"/>
      <c r="D47" s="37"/>
      <c r="E47" s="38"/>
      <c r="F47" s="37"/>
      <c r="G47" s="39"/>
    </row>
    <row r="48" spans="2:7" x14ac:dyDescent="0.25">
      <c r="B48" s="30"/>
      <c r="C48" s="30"/>
      <c r="D48" s="37"/>
      <c r="E48" s="38"/>
      <c r="F48" s="37"/>
      <c r="G48" s="39"/>
    </row>
    <row r="49" spans="2:7" x14ac:dyDescent="0.25">
      <c r="B49" s="30"/>
      <c r="C49" s="30"/>
      <c r="D49" s="37"/>
      <c r="E49" s="38"/>
      <c r="F49" s="37"/>
      <c r="G49" s="39"/>
    </row>
    <row r="50" spans="2:7" x14ac:dyDescent="0.25">
      <c r="B50" s="30"/>
      <c r="C50" s="30"/>
      <c r="D50" s="37"/>
      <c r="E50" s="38"/>
      <c r="F50" s="37"/>
      <c r="G50" s="39"/>
    </row>
    <row r="51" spans="2:7" x14ac:dyDescent="0.25">
      <c r="B51" s="30"/>
      <c r="C51" s="30"/>
      <c r="D51" s="37"/>
      <c r="E51" s="38"/>
      <c r="F51" s="37"/>
      <c r="G51" s="39"/>
    </row>
    <row r="52" spans="2:7" x14ac:dyDescent="0.25">
      <c r="B52" s="30"/>
      <c r="C52" s="30"/>
      <c r="D52" s="37"/>
      <c r="E52" s="38"/>
      <c r="F52" s="37"/>
      <c r="G52" s="39"/>
    </row>
    <row r="53" spans="2:7" x14ac:dyDescent="0.25">
      <c r="B53" s="30"/>
      <c r="C53" s="30"/>
      <c r="D53" s="37"/>
      <c r="E53" s="38"/>
      <c r="F53" s="37"/>
      <c r="G53" s="39"/>
    </row>
    <row r="54" spans="2:7" x14ac:dyDescent="0.25">
      <c r="B54" s="30"/>
      <c r="C54" s="30"/>
      <c r="D54" s="37"/>
      <c r="E54" s="38"/>
      <c r="F54" s="37"/>
      <c r="G54" s="39"/>
    </row>
    <row r="55" spans="2:7" x14ac:dyDescent="0.25">
      <c r="B55" s="30"/>
      <c r="C55" s="30"/>
      <c r="D55" s="37"/>
      <c r="E55" s="38"/>
      <c r="F55" s="37"/>
      <c r="G55" s="39"/>
    </row>
    <row r="56" spans="2:7" x14ac:dyDescent="0.25">
      <c r="B56" s="30"/>
      <c r="C56" s="30"/>
      <c r="D56" s="37"/>
      <c r="E56" s="38"/>
      <c r="F56" s="37"/>
      <c r="G56" s="39"/>
    </row>
    <row r="57" spans="2:7" x14ac:dyDescent="0.25">
      <c r="B57" s="30"/>
      <c r="C57" s="30"/>
      <c r="D57" s="37"/>
      <c r="E57" s="38"/>
      <c r="F57" s="37"/>
      <c r="G57" s="39"/>
    </row>
    <row r="58" spans="2:7" x14ac:dyDescent="0.25">
      <c r="B58" s="30"/>
      <c r="C58" s="30"/>
      <c r="D58" s="37"/>
      <c r="E58" s="38"/>
      <c r="F58" s="37"/>
      <c r="G58" s="39"/>
    </row>
    <row r="59" spans="2:7" x14ac:dyDescent="0.25">
      <c r="B59" s="30"/>
      <c r="C59" s="30"/>
      <c r="D59" s="37"/>
      <c r="E59" s="38"/>
      <c r="F59" s="37"/>
      <c r="G59" s="39"/>
    </row>
    <row r="60" spans="2:7" x14ac:dyDescent="0.25">
      <c r="B60" s="30"/>
      <c r="C60" s="30"/>
      <c r="D60" s="37"/>
      <c r="E60" s="38"/>
      <c r="F60" s="37"/>
      <c r="G60" s="39"/>
    </row>
    <row r="61" spans="2:7" x14ac:dyDescent="0.25">
      <c r="B61" s="30"/>
      <c r="C61" s="30"/>
      <c r="D61" s="37"/>
      <c r="E61" s="38"/>
      <c r="F61" s="37"/>
      <c r="G61" s="39"/>
    </row>
    <row r="62" spans="2:7" x14ac:dyDescent="0.25">
      <c r="B62" s="30"/>
      <c r="C62" s="30"/>
      <c r="D62" s="37"/>
      <c r="E62" s="38"/>
      <c r="F62" s="37"/>
      <c r="G62" s="39"/>
    </row>
    <row r="63" spans="2:7" x14ac:dyDescent="0.25">
      <c r="B63" s="30"/>
      <c r="C63" s="30"/>
      <c r="D63" s="37"/>
      <c r="E63" s="38"/>
      <c r="F63" s="37"/>
      <c r="G63" s="39"/>
    </row>
    <row r="64" spans="2:7" x14ac:dyDescent="0.25">
      <c r="B64" s="30"/>
      <c r="C64" s="30"/>
      <c r="D64" s="37"/>
      <c r="E64" s="38"/>
      <c r="F64" s="37"/>
      <c r="G64" s="39"/>
    </row>
    <row r="65" spans="2:7" x14ac:dyDescent="0.25">
      <c r="B65" s="30"/>
      <c r="C65" s="30"/>
      <c r="D65" s="37"/>
      <c r="E65" s="38"/>
      <c r="F65" s="37"/>
      <c r="G65" s="39"/>
    </row>
    <row r="66" spans="2:7" x14ac:dyDescent="0.25">
      <c r="B66" s="30"/>
      <c r="C66" s="30"/>
      <c r="D66" s="37"/>
      <c r="E66" s="38"/>
      <c r="F66" s="37"/>
      <c r="G66" s="39"/>
    </row>
    <row r="67" spans="2:7" x14ac:dyDescent="0.25">
      <c r="B67" s="30"/>
      <c r="C67" s="30"/>
      <c r="D67" s="37"/>
      <c r="E67" s="38"/>
      <c r="F67" s="37"/>
      <c r="G67" s="39"/>
    </row>
    <row r="68" spans="2:7" x14ac:dyDescent="0.25">
      <c r="B68" s="30"/>
      <c r="C68" s="30"/>
      <c r="D68" s="37"/>
      <c r="E68" s="38"/>
      <c r="F68" s="37"/>
      <c r="G68" s="39"/>
    </row>
    <row r="69" spans="2:7" x14ac:dyDescent="0.25">
      <c r="B69" s="30"/>
      <c r="C69" s="30"/>
      <c r="D69" s="37"/>
      <c r="E69" s="38"/>
      <c r="F69" s="37"/>
      <c r="G69" s="39"/>
    </row>
    <row r="70" spans="2:7" x14ac:dyDescent="0.25">
      <c r="B70" s="30"/>
      <c r="C70" s="30"/>
      <c r="D70" s="37"/>
      <c r="E70" s="38"/>
      <c r="F70" s="37"/>
      <c r="G70" s="39"/>
    </row>
    <row r="71" spans="2:7" x14ac:dyDescent="0.25">
      <c r="B71" s="30"/>
      <c r="C71" s="30"/>
      <c r="D71" s="37"/>
      <c r="E71" s="38"/>
      <c r="F71" s="37"/>
      <c r="G71" s="39"/>
    </row>
    <row r="72" spans="2:7" x14ac:dyDescent="0.25">
      <c r="B72" s="30"/>
      <c r="C72" s="30"/>
      <c r="D72" s="37"/>
      <c r="E72" s="38"/>
      <c r="F72" s="37"/>
      <c r="G72" s="39"/>
    </row>
    <row r="73" spans="2:7" x14ac:dyDescent="0.25">
      <c r="B73" s="30"/>
      <c r="C73" s="30"/>
      <c r="D73" s="37"/>
      <c r="E73" s="38"/>
      <c r="F73" s="37"/>
      <c r="G73" s="39"/>
    </row>
    <row r="74" spans="2:7" x14ac:dyDescent="0.25">
      <c r="B74" s="30"/>
      <c r="C74" s="30"/>
      <c r="D74" s="37"/>
      <c r="E74" s="38"/>
      <c r="F74" s="37"/>
      <c r="G74" s="39"/>
    </row>
    <row r="75" spans="2:7" x14ac:dyDescent="0.25">
      <c r="B75" s="30"/>
      <c r="C75" s="30"/>
      <c r="D75" s="37"/>
      <c r="E75" s="38"/>
      <c r="F75" s="37"/>
      <c r="G75" s="39"/>
    </row>
    <row r="76" spans="2:7" x14ac:dyDescent="0.25">
      <c r="B76" s="30"/>
      <c r="C76" s="30"/>
      <c r="D76" s="37"/>
      <c r="E76" s="38"/>
      <c r="F76" s="37"/>
      <c r="G76" s="39"/>
    </row>
    <row r="77" spans="2:7" x14ac:dyDescent="0.25">
      <c r="B77" s="30"/>
      <c r="C77" s="30"/>
      <c r="D77" s="37"/>
      <c r="E77" s="38"/>
      <c r="F77" s="37"/>
      <c r="G77" s="39"/>
    </row>
    <row r="78" spans="2:7" x14ac:dyDescent="0.25">
      <c r="B78" s="30"/>
      <c r="C78" s="30"/>
      <c r="D78" s="37"/>
      <c r="E78" s="38"/>
      <c r="F78" s="37"/>
      <c r="G78" s="39"/>
    </row>
    <row r="79" spans="2:7" x14ac:dyDescent="0.25">
      <c r="B79" s="30"/>
      <c r="C79" s="30"/>
      <c r="D79" s="37"/>
      <c r="E79" s="38"/>
      <c r="F79" s="37"/>
      <c r="G79" s="39"/>
    </row>
    <row r="80" spans="2:7" x14ac:dyDescent="0.25">
      <c r="B80" s="30"/>
      <c r="C80" s="30"/>
      <c r="D80" s="37"/>
      <c r="E80" s="38"/>
      <c r="F80" s="37"/>
      <c r="G80" s="39"/>
    </row>
    <row r="81" spans="2:7" x14ac:dyDescent="0.25">
      <c r="B81" s="30"/>
      <c r="C81" s="30"/>
      <c r="D81" s="37"/>
      <c r="E81" s="38"/>
      <c r="F81" s="37"/>
      <c r="G81" s="39"/>
    </row>
    <row r="82" spans="2:7" x14ac:dyDescent="0.25">
      <c r="B82" s="30"/>
      <c r="C82" s="30"/>
      <c r="D82" s="37"/>
      <c r="E82" s="38"/>
      <c r="F82" s="37"/>
      <c r="G82" s="39"/>
    </row>
    <row r="83" spans="2:7" x14ac:dyDescent="0.25">
      <c r="B83" s="30"/>
      <c r="C83" s="30"/>
      <c r="D83" s="37"/>
      <c r="E83" s="38"/>
      <c r="F83" s="37"/>
      <c r="G83" s="39"/>
    </row>
    <row r="84" spans="2:7" x14ac:dyDescent="0.25">
      <c r="B84" s="30"/>
      <c r="C84" s="30"/>
      <c r="D84" s="37"/>
      <c r="E84" s="38"/>
      <c r="F84" s="37"/>
      <c r="G84" s="39"/>
    </row>
    <row r="85" spans="2:7" x14ac:dyDescent="0.25">
      <c r="B85" s="30"/>
      <c r="C85" s="30"/>
      <c r="D85" s="37"/>
      <c r="E85" s="38"/>
      <c r="F85" s="37"/>
      <c r="G85" s="39"/>
    </row>
    <row r="86" spans="2:7" x14ac:dyDescent="0.25">
      <c r="B86" s="30"/>
      <c r="C86" s="30"/>
      <c r="D86" s="37"/>
      <c r="E86" s="38"/>
      <c r="F86" s="37"/>
      <c r="G86" s="39"/>
    </row>
    <row r="87" spans="2:7" x14ac:dyDescent="0.25">
      <c r="B87" s="30"/>
      <c r="C87" s="30"/>
      <c r="D87" s="37"/>
      <c r="E87" s="38"/>
      <c r="F87" s="37"/>
      <c r="G87" s="39"/>
    </row>
    <row r="88" spans="2:7" x14ac:dyDescent="0.25">
      <c r="B88" s="30"/>
      <c r="C88" s="30"/>
      <c r="D88" s="37"/>
      <c r="E88" s="38"/>
      <c r="F88" s="37"/>
      <c r="G88" s="39"/>
    </row>
    <row r="89" spans="2:7" x14ac:dyDescent="0.25">
      <c r="B89" s="30"/>
      <c r="C89" s="30"/>
      <c r="D89" s="37"/>
      <c r="E89" s="38"/>
      <c r="F89" s="37"/>
      <c r="G89" s="39"/>
    </row>
    <row r="90" spans="2:7" x14ac:dyDescent="0.25">
      <c r="B90" s="30"/>
      <c r="C90" s="30"/>
      <c r="D90" s="37"/>
      <c r="E90" s="38"/>
      <c r="F90" s="37"/>
      <c r="G90" s="39"/>
    </row>
    <row r="91" spans="2:7" x14ac:dyDescent="0.25">
      <c r="B91" s="30"/>
      <c r="C91" s="30"/>
      <c r="D91" s="37"/>
      <c r="E91" s="38"/>
      <c r="F91" s="37"/>
      <c r="G91" s="39"/>
    </row>
    <row r="92" spans="2:7" x14ac:dyDescent="0.25">
      <c r="B92" s="30"/>
      <c r="C92" s="30"/>
      <c r="D92" s="37"/>
      <c r="E92" s="38"/>
      <c r="F92" s="37"/>
      <c r="G92" s="39"/>
    </row>
    <row r="93" spans="2:7" x14ac:dyDescent="0.25">
      <c r="B93" s="30"/>
      <c r="C93" s="25"/>
      <c r="D93" s="26"/>
      <c r="E93" s="27"/>
      <c r="F93" s="26"/>
      <c r="G93" s="28"/>
    </row>
    <row r="94" spans="2:7" x14ac:dyDescent="0.25">
      <c r="B94" s="30"/>
      <c r="C94" s="12"/>
      <c r="D94" s="10"/>
      <c r="E94" s="15"/>
      <c r="F94" s="10"/>
      <c r="G94" s="11"/>
    </row>
    <row r="95" spans="2:7" x14ac:dyDescent="0.25">
      <c r="B95" s="30"/>
      <c r="C95" s="12"/>
      <c r="D95" s="10"/>
      <c r="E95" s="15"/>
      <c r="F95" s="10"/>
      <c r="G95" s="11"/>
    </row>
    <row r="96" spans="2:7" x14ac:dyDescent="0.25">
      <c r="B96" s="30"/>
      <c r="C96" s="12"/>
      <c r="D96" s="10"/>
      <c r="E96" s="15"/>
      <c r="F96" s="10"/>
      <c r="G96" s="11"/>
    </row>
    <row r="97" spans="2:7" x14ac:dyDescent="0.25">
      <c r="B97" s="30"/>
      <c r="C97" s="12"/>
      <c r="D97" s="10"/>
      <c r="E97" s="15"/>
      <c r="F97" s="10"/>
      <c r="G97" s="11"/>
    </row>
    <row r="98" spans="2:7" x14ac:dyDescent="0.25">
      <c r="B98" s="30"/>
      <c r="C98" s="12"/>
      <c r="D98" s="10"/>
      <c r="E98" s="15"/>
      <c r="F98" s="10"/>
      <c r="G98" s="11"/>
    </row>
    <row r="99" spans="2:7" x14ac:dyDescent="0.25">
      <c r="B99" s="30"/>
      <c r="C99" s="12"/>
      <c r="D99" s="10"/>
      <c r="E99" s="15"/>
      <c r="F99" s="10"/>
      <c r="G99" s="11"/>
    </row>
    <row r="100" spans="2:7" x14ac:dyDescent="0.25">
      <c r="B100" s="30"/>
      <c r="C100" s="12"/>
      <c r="D100" s="10"/>
      <c r="E100" s="15"/>
      <c r="F100" s="10"/>
      <c r="G100" s="11"/>
    </row>
    <row r="101" spans="2:7" x14ac:dyDescent="0.25">
      <c r="B101" s="30"/>
      <c r="C101" s="12"/>
      <c r="D101" s="10"/>
      <c r="E101" s="15"/>
      <c r="F101" s="10"/>
      <c r="G101" s="11"/>
    </row>
    <row r="102" spans="2:7" x14ac:dyDescent="0.25">
      <c r="B102" s="30"/>
      <c r="C102" s="12"/>
      <c r="D102" s="10"/>
      <c r="E102" s="15"/>
      <c r="F102" s="10"/>
      <c r="G102" s="11"/>
    </row>
    <row r="103" spans="2:7" x14ac:dyDescent="0.25">
      <c r="B103" s="30"/>
      <c r="C103" s="12"/>
      <c r="D103" s="10"/>
      <c r="E103" s="15"/>
      <c r="F103" s="10"/>
      <c r="G103" s="11"/>
    </row>
    <row r="104" spans="2:7" x14ac:dyDescent="0.25">
      <c r="B104" s="30"/>
      <c r="C104" s="12"/>
      <c r="D104" s="10"/>
      <c r="E104" s="15"/>
      <c r="F104" s="10"/>
      <c r="G104" s="11"/>
    </row>
    <row r="105" spans="2:7" x14ac:dyDescent="0.25">
      <c r="B105" s="30"/>
      <c r="C105" s="12"/>
      <c r="D105" s="10"/>
      <c r="E105" s="15"/>
      <c r="F105" s="10"/>
      <c r="G105" s="11"/>
    </row>
    <row r="106" spans="2:7" x14ac:dyDescent="0.25">
      <c r="B106" s="30"/>
      <c r="C106" s="12"/>
      <c r="D106" s="10"/>
      <c r="E106" s="15"/>
      <c r="F106" s="10"/>
      <c r="G106" s="11"/>
    </row>
    <row r="107" spans="2:7" x14ac:dyDescent="0.25">
      <c r="B107" s="30"/>
      <c r="C107" s="12"/>
      <c r="D107" s="10"/>
      <c r="E107" s="15"/>
      <c r="F107" s="10"/>
      <c r="G107" s="11"/>
    </row>
    <row r="108" spans="2:7" x14ac:dyDescent="0.25">
      <c r="B108" s="30"/>
      <c r="C108" s="12"/>
      <c r="D108" s="10"/>
      <c r="E108" s="15"/>
      <c r="F108" s="10"/>
      <c r="G108" s="11"/>
    </row>
    <row r="109" spans="2:7" x14ac:dyDescent="0.25">
      <c r="B109" s="30"/>
      <c r="C109" s="12"/>
      <c r="D109" s="10"/>
      <c r="E109" s="15"/>
      <c r="F109" s="10"/>
      <c r="G109" s="11"/>
    </row>
    <row r="110" spans="2:7" x14ac:dyDescent="0.25">
      <c r="B110" s="5" t="s">
        <v>38</v>
      </c>
      <c r="C110" s="5" t="s">
        <v>38</v>
      </c>
      <c r="D110" s="5"/>
      <c r="E110" s="5"/>
      <c r="F110" s="5"/>
      <c r="G110" s="6">
        <f>SUM(G10:G109)</f>
        <v>0</v>
      </c>
    </row>
  </sheetData>
  <autoFilter ref="B9:G93" xr:uid="{00000000-0001-0000-0200-000000000000}"/>
  <mergeCells count="3">
    <mergeCell ref="B1:K1"/>
    <mergeCell ref="B8:G8"/>
    <mergeCell ref="I8:K8"/>
  </mergeCells>
  <dataValidations count="1">
    <dataValidation type="list" allowBlank="1" showInputMessage="1" showErrorMessage="1" sqref="F10:F109" xr:uid="{F9C03FDF-C71E-4F09-B8B1-8278A3162CD6}">
      <formula1>$I$10:$I$20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D17E3D-7533-42AA-BF2C-20EC316780F7}">
          <x14:formula1>
            <xm:f>Resumo!$B$6:$B$17</xm:f>
          </x14:formula1>
          <xm:sqref>D2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4287-BF31-469D-ADB6-7EDFC6A2CDE9}">
  <sheetPr>
    <tabColor theme="3"/>
  </sheetPr>
  <dimension ref="A1:M61"/>
  <sheetViews>
    <sheetView showGridLines="0" zoomScaleNormal="100" workbookViewId="0">
      <selection activeCell="L26" sqref="L26"/>
    </sheetView>
  </sheetViews>
  <sheetFormatPr defaultColWidth="8.7109375" defaultRowHeight="15" x14ac:dyDescent="0.25"/>
  <cols>
    <col min="1" max="1" width="2" customWidth="1"/>
    <col min="2" max="2" width="22" customWidth="1"/>
    <col min="3" max="3" width="14" customWidth="1"/>
    <col min="4" max="4" width="4" customWidth="1"/>
    <col min="5" max="5" width="11" style="18" customWidth="1"/>
    <col min="6" max="6" width="26" customWidth="1"/>
    <col min="7" max="7" width="25.7109375" bestFit="1" customWidth="1"/>
    <col min="8" max="8" width="12" customWidth="1"/>
    <col min="9" max="9" width="12.7109375" customWidth="1"/>
    <col min="10" max="10" width="2" customWidth="1"/>
    <col min="11" max="11" width="26" customWidth="1"/>
    <col min="12" max="12" width="13" customWidth="1"/>
    <col min="13" max="13" width="9.7109375" customWidth="1"/>
  </cols>
  <sheetData>
    <row r="1" spans="1:13" ht="24" customHeight="1" x14ac:dyDescent="0.25">
      <c r="B1" s="45" t="s">
        <v>25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x14ac:dyDescent="0.25">
      <c r="B2" s="7" t="s">
        <v>26</v>
      </c>
      <c r="C2" s="9" t="s">
        <v>11</v>
      </c>
      <c r="D2" s="8" t="s">
        <v>27</v>
      </c>
    </row>
    <row r="4" spans="1:13" x14ac:dyDescent="0.25">
      <c r="B4" s="5" t="s">
        <v>28</v>
      </c>
      <c r="C4" s="6">
        <f>C21</f>
        <v>0</v>
      </c>
      <c r="G4" s="5" t="s">
        <v>71</v>
      </c>
      <c r="H4" s="6">
        <f>SUMIF($I$11:$I$60,"Pago",$H$11:$H$60)</f>
        <v>0</v>
      </c>
    </row>
    <row r="5" spans="1:13" x14ac:dyDescent="0.25">
      <c r="B5" s="5" t="s">
        <v>29</v>
      </c>
      <c r="C5" s="6">
        <f>L20</f>
        <v>0</v>
      </c>
      <c r="G5" s="5" t="s">
        <v>72</v>
      </c>
      <c r="H5" s="6">
        <f>SUMIF($I$11:$I$60,"Não pago",$H$11:$H$60)</f>
        <v>0</v>
      </c>
    </row>
    <row r="6" spans="1:13" x14ac:dyDescent="0.25">
      <c r="B6" s="5" t="s">
        <v>30</v>
      </c>
      <c r="C6" s="6">
        <f>C4-C5</f>
        <v>0</v>
      </c>
    </row>
    <row r="8" spans="1:13" x14ac:dyDescent="0.25">
      <c r="A8" s="18"/>
      <c r="B8" s="18"/>
      <c r="C8" s="18"/>
      <c r="D8" s="18"/>
    </row>
    <row r="9" spans="1:13" ht="16.5" x14ac:dyDescent="0.25">
      <c r="B9" s="45" t="s">
        <v>31</v>
      </c>
      <c r="C9" s="45"/>
      <c r="E9" s="45" t="s">
        <v>32</v>
      </c>
      <c r="F9" s="45"/>
      <c r="G9" s="45"/>
      <c r="H9" s="45"/>
      <c r="I9" s="45"/>
      <c r="K9" s="45" t="s">
        <v>33</v>
      </c>
      <c r="L9" s="45"/>
      <c r="M9" s="45"/>
    </row>
    <row r="10" spans="1:13" x14ac:dyDescent="0.25">
      <c r="B10" s="1" t="s">
        <v>34</v>
      </c>
      <c r="C10" s="1" t="s">
        <v>35</v>
      </c>
      <c r="E10" s="17" t="s">
        <v>36</v>
      </c>
      <c r="F10" s="1" t="s">
        <v>34</v>
      </c>
      <c r="G10" s="1" t="s">
        <v>37</v>
      </c>
      <c r="H10" s="1" t="s">
        <v>35</v>
      </c>
      <c r="I10" s="1" t="s">
        <v>70</v>
      </c>
      <c r="K10" s="1" t="s">
        <v>37</v>
      </c>
      <c r="L10" s="1" t="s">
        <v>38</v>
      </c>
      <c r="M10" s="1" t="s">
        <v>39</v>
      </c>
    </row>
    <row r="11" spans="1:13" x14ac:dyDescent="0.25">
      <c r="B11" s="10"/>
      <c r="C11" s="11"/>
      <c r="E11" s="16"/>
      <c r="F11" s="10"/>
      <c r="G11" s="10"/>
      <c r="H11" s="20"/>
      <c r="I11" s="23"/>
      <c r="K11" s="21" t="s">
        <v>40</v>
      </c>
      <c r="L11" s="4">
        <f t="shared" ref="L11:L18" si="0">SUMIF($G$11:$G$60,K11,$H$11:$H$60)</f>
        <v>0</v>
      </c>
      <c r="M11" s="13">
        <f t="shared" ref="M11:M18" si="1">IF($L$20=0,0,L11/$L$20)</f>
        <v>0</v>
      </c>
    </row>
    <row r="12" spans="1:13" x14ac:dyDescent="0.25">
      <c r="B12" s="10"/>
      <c r="C12" s="11"/>
      <c r="E12" s="16"/>
      <c r="F12" s="10"/>
      <c r="G12" s="10"/>
      <c r="H12" s="20"/>
      <c r="I12" s="23"/>
      <c r="K12" s="21" t="s">
        <v>41</v>
      </c>
      <c r="L12" s="4">
        <f t="shared" si="0"/>
        <v>0</v>
      </c>
      <c r="M12" s="13">
        <f t="shared" si="1"/>
        <v>0</v>
      </c>
    </row>
    <row r="13" spans="1:13" x14ac:dyDescent="0.25">
      <c r="B13" s="10"/>
      <c r="C13" s="11"/>
      <c r="E13" s="16"/>
      <c r="F13" s="10"/>
      <c r="G13" s="10"/>
      <c r="H13" s="20"/>
      <c r="I13" s="23"/>
      <c r="K13" s="21" t="s">
        <v>42</v>
      </c>
      <c r="L13" s="4">
        <f t="shared" si="0"/>
        <v>0</v>
      </c>
      <c r="M13" s="13">
        <f t="shared" si="1"/>
        <v>0</v>
      </c>
    </row>
    <row r="14" spans="1:13" x14ac:dyDescent="0.25">
      <c r="B14" s="10"/>
      <c r="C14" s="11"/>
      <c r="E14" s="16"/>
      <c r="F14" s="10"/>
      <c r="G14" s="10"/>
      <c r="H14" s="20"/>
      <c r="I14" s="23"/>
      <c r="K14" s="21" t="s">
        <v>43</v>
      </c>
      <c r="L14" s="4">
        <f t="shared" si="0"/>
        <v>0</v>
      </c>
      <c r="M14" s="13">
        <f t="shared" si="1"/>
        <v>0</v>
      </c>
    </row>
    <row r="15" spans="1:13" x14ac:dyDescent="0.25">
      <c r="B15" s="10"/>
      <c r="C15" s="11"/>
      <c r="E15" s="16"/>
      <c r="F15" s="10"/>
      <c r="G15" s="10"/>
      <c r="H15" s="20"/>
      <c r="I15" s="23"/>
      <c r="K15" s="21" t="s">
        <v>44</v>
      </c>
      <c r="L15" s="4">
        <f t="shared" si="0"/>
        <v>0</v>
      </c>
      <c r="M15" s="13">
        <f t="shared" si="1"/>
        <v>0</v>
      </c>
    </row>
    <row r="16" spans="1:13" x14ac:dyDescent="0.25">
      <c r="B16" s="10"/>
      <c r="C16" s="11"/>
      <c r="E16" s="16"/>
      <c r="F16" s="10"/>
      <c r="G16" s="10"/>
      <c r="H16" s="20"/>
      <c r="I16" s="23"/>
      <c r="K16" s="21" t="s">
        <v>45</v>
      </c>
      <c r="L16" s="4">
        <f t="shared" si="0"/>
        <v>0</v>
      </c>
      <c r="M16" s="13">
        <f t="shared" si="1"/>
        <v>0</v>
      </c>
    </row>
    <row r="17" spans="2:13" x14ac:dyDescent="0.25">
      <c r="B17" s="10"/>
      <c r="C17" s="11"/>
      <c r="E17" s="16"/>
      <c r="F17" s="10"/>
      <c r="G17" s="10"/>
      <c r="H17" s="20"/>
      <c r="I17" s="23"/>
      <c r="K17" s="21" t="s">
        <v>46</v>
      </c>
      <c r="L17" s="4">
        <f t="shared" si="0"/>
        <v>0</v>
      </c>
      <c r="M17" s="13">
        <f t="shared" si="1"/>
        <v>0</v>
      </c>
    </row>
    <row r="18" spans="2:13" x14ac:dyDescent="0.25">
      <c r="B18" s="10"/>
      <c r="C18" s="11"/>
      <c r="E18" s="16"/>
      <c r="F18" s="10"/>
      <c r="G18" s="10"/>
      <c r="H18" s="20"/>
      <c r="I18" s="23"/>
      <c r="K18" s="21" t="s">
        <v>47</v>
      </c>
      <c r="L18" s="4">
        <f t="shared" si="0"/>
        <v>0</v>
      </c>
      <c r="M18" s="13">
        <f t="shared" si="1"/>
        <v>0</v>
      </c>
    </row>
    <row r="19" spans="2:13" x14ac:dyDescent="0.25">
      <c r="B19" s="10"/>
      <c r="C19" s="11"/>
      <c r="E19" s="16"/>
      <c r="F19" s="10"/>
      <c r="G19" s="10"/>
      <c r="H19" s="20"/>
      <c r="I19" s="23"/>
      <c r="K19" s="21" t="s">
        <v>48</v>
      </c>
      <c r="L19" s="3">
        <f>IFERROR('Maio-Cartão'!D4,0)</f>
        <v>0</v>
      </c>
      <c r="M19" s="13">
        <f>IF($L$20=0,0,L19/$L$20)</f>
        <v>0</v>
      </c>
    </row>
    <row r="20" spans="2:13" x14ac:dyDescent="0.25">
      <c r="B20" s="10"/>
      <c r="C20" s="11"/>
      <c r="E20" s="16"/>
      <c r="F20" s="10"/>
      <c r="G20" s="10"/>
      <c r="H20" s="20"/>
      <c r="I20" s="23"/>
      <c r="K20" s="22" t="s">
        <v>38</v>
      </c>
      <c r="L20" s="6">
        <f>SUM(L11:L19)</f>
        <v>0</v>
      </c>
      <c r="M20" s="14">
        <f>IF(L20=0,0,L20/L20)</f>
        <v>0</v>
      </c>
    </row>
    <row r="21" spans="2:13" x14ac:dyDescent="0.25">
      <c r="B21" s="5" t="s">
        <v>38</v>
      </c>
      <c r="C21" s="6">
        <f>SUM(C11:C20)</f>
        <v>0</v>
      </c>
      <c r="E21" s="16"/>
      <c r="F21" s="10"/>
      <c r="G21" s="10"/>
      <c r="H21" s="20"/>
      <c r="I21" s="23"/>
    </row>
    <row r="22" spans="2:13" x14ac:dyDescent="0.25">
      <c r="E22" s="16"/>
      <c r="F22" s="10"/>
      <c r="G22" s="10"/>
      <c r="H22" s="20"/>
      <c r="I22" s="23"/>
      <c r="K22" s="44" t="s">
        <v>49</v>
      </c>
      <c r="L22" s="44"/>
      <c r="M22" s="44"/>
    </row>
    <row r="23" spans="2:13" x14ac:dyDescent="0.25">
      <c r="E23" s="16"/>
      <c r="F23" s="10"/>
      <c r="G23" s="10"/>
      <c r="H23" s="20"/>
      <c r="I23" s="23"/>
      <c r="K23" s="44"/>
      <c r="L23" s="44"/>
      <c r="M23" s="44"/>
    </row>
    <row r="24" spans="2:13" x14ac:dyDescent="0.25">
      <c r="E24" s="16"/>
      <c r="F24" s="10"/>
      <c r="G24" s="10"/>
      <c r="H24" s="20"/>
      <c r="I24" s="23"/>
    </row>
    <row r="25" spans="2:13" x14ac:dyDescent="0.25">
      <c r="E25" s="16"/>
      <c r="F25" s="10"/>
      <c r="G25" s="10"/>
      <c r="H25" s="20"/>
      <c r="I25" s="23"/>
    </row>
    <row r="26" spans="2:13" x14ac:dyDescent="0.25">
      <c r="E26" s="16"/>
      <c r="F26" s="10"/>
      <c r="G26" s="10"/>
      <c r="H26" s="20"/>
      <c r="I26" s="23"/>
    </row>
    <row r="27" spans="2:13" x14ac:dyDescent="0.25">
      <c r="E27" s="16"/>
      <c r="F27" s="10"/>
      <c r="G27" s="10"/>
      <c r="H27" s="20"/>
      <c r="I27" s="23"/>
    </row>
    <row r="28" spans="2:13" x14ac:dyDescent="0.25">
      <c r="E28" s="16"/>
      <c r="F28" s="10"/>
      <c r="G28" s="10"/>
      <c r="H28" s="20"/>
      <c r="I28" s="23"/>
    </row>
    <row r="29" spans="2:13" x14ac:dyDescent="0.25">
      <c r="E29" s="16"/>
      <c r="F29" s="10"/>
      <c r="G29" s="10"/>
      <c r="H29" s="20"/>
      <c r="I29" s="23"/>
    </row>
    <row r="30" spans="2:13" x14ac:dyDescent="0.25">
      <c r="E30" s="16"/>
      <c r="F30" s="10"/>
      <c r="G30" s="10"/>
      <c r="H30" s="20"/>
      <c r="I30" s="23"/>
    </row>
    <row r="31" spans="2:13" x14ac:dyDescent="0.25">
      <c r="E31" s="16"/>
      <c r="F31" s="10"/>
      <c r="G31" s="10"/>
      <c r="H31" s="20"/>
      <c r="I31" s="23"/>
    </row>
    <row r="32" spans="2:13" x14ac:dyDescent="0.25">
      <c r="E32" s="16"/>
      <c r="F32" s="10"/>
      <c r="G32" s="10"/>
      <c r="H32" s="20"/>
      <c r="I32" s="23"/>
    </row>
    <row r="33" spans="5:9" x14ac:dyDescent="0.25">
      <c r="E33" s="16"/>
      <c r="F33" s="10"/>
      <c r="G33" s="10"/>
      <c r="H33" s="20"/>
      <c r="I33" s="23"/>
    </row>
    <row r="34" spans="5:9" x14ac:dyDescent="0.25">
      <c r="E34" s="16"/>
      <c r="F34" s="10"/>
      <c r="G34" s="10"/>
      <c r="H34" s="20"/>
      <c r="I34" s="23"/>
    </row>
    <row r="35" spans="5:9" x14ac:dyDescent="0.25">
      <c r="E35" s="16"/>
      <c r="F35" s="10"/>
      <c r="G35" s="10"/>
      <c r="H35" s="20"/>
      <c r="I35" s="23"/>
    </row>
    <row r="36" spans="5:9" x14ac:dyDescent="0.25">
      <c r="E36" s="16"/>
      <c r="F36" s="10"/>
      <c r="G36" s="10"/>
      <c r="H36" s="20"/>
      <c r="I36" s="23"/>
    </row>
    <row r="37" spans="5:9" x14ac:dyDescent="0.25">
      <c r="E37" s="16"/>
      <c r="F37" s="10"/>
      <c r="G37" s="10"/>
      <c r="H37" s="20"/>
      <c r="I37" s="23"/>
    </row>
    <row r="38" spans="5:9" x14ac:dyDescent="0.25">
      <c r="E38" s="16"/>
      <c r="F38" s="10"/>
      <c r="G38" s="10"/>
      <c r="H38" s="20"/>
      <c r="I38" s="23"/>
    </row>
    <row r="39" spans="5:9" x14ac:dyDescent="0.25">
      <c r="E39" s="16"/>
      <c r="F39" s="10"/>
      <c r="G39" s="10"/>
      <c r="H39" s="20"/>
      <c r="I39" s="23"/>
    </row>
    <row r="40" spans="5:9" x14ac:dyDescent="0.25">
      <c r="E40" s="16"/>
      <c r="F40" s="10"/>
      <c r="G40" s="10"/>
      <c r="H40" s="20"/>
      <c r="I40" s="23"/>
    </row>
    <row r="41" spans="5:9" x14ac:dyDescent="0.25">
      <c r="E41" s="16"/>
      <c r="F41" s="10"/>
      <c r="G41" s="10"/>
      <c r="H41" s="20"/>
      <c r="I41" s="23"/>
    </row>
    <row r="42" spans="5:9" x14ac:dyDescent="0.25">
      <c r="E42" s="16"/>
      <c r="F42" s="10"/>
      <c r="G42" s="10"/>
      <c r="H42" s="20"/>
      <c r="I42" s="23"/>
    </row>
    <row r="43" spans="5:9" x14ac:dyDescent="0.25">
      <c r="E43" s="16"/>
      <c r="F43" s="10"/>
      <c r="G43" s="10"/>
      <c r="H43" s="20"/>
      <c r="I43" s="23"/>
    </row>
    <row r="44" spans="5:9" x14ac:dyDescent="0.25">
      <c r="E44" s="16"/>
      <c r="F44" s="10"/>
      <c r="G44" s="10"/>
      <c r="H44" s="20"/>
      <c r="I44" s="23"/>
    </row>
    <row r="45" spans="5:9" x14ac:dyDescent="0.25">
      <c r="E45" s="16"/>
      <c r="F45" s="10"/>
      <c r="G45" s="10"/>
      <c r="H45" s="20"/>
      <c r="I45" s="23"/>
    </row>
    <row r="46" spans="5:9" x14ac:dyDescent="0.25">
      <c r="E46" s="16"/>
      <c r="F46" s="10"/>
      <c r="G46" s="10"/>
      <c r="H46" s="20"/>
      <c r="I46" s="23"/>
    </row>
    <row r="47" spans="5:9" x14ac:dyDescent="0.25">
      <c r="E47" s="16"/>
      <c r="F47" s="10"/>
      <c r="G47" s="10"/>
      <c r="H47" s="20"/>
      <c r="I47" s="23"/>
    </row>
    <row r="48" spans="5:9" x14ac:dyDescent="0.25">
      <c r="E48" s="16"/>
      <c r="F48" s="10"/>
      <c r="G48" s="10"/>
      <c r="H48" s="20"/>
      <c r="I48" s="23"/>
    </row>
    <row r="49" spans="5:10" x14ac:dyDescent="0.25">
      <c r="E49" s="16"/>
      <c r="F49" s="10"/>
      <c r="G49" s="10"/>
      <c r="H49" s="20"/>
      <c r="I49" s="23"/>
    </row>
    <row r="50" spans="5:10" x14ac:dyDescent="0.25">
      <c r="E50" s="16"/>
      <c r="F50" s="10"/>
      <c r="G50" s="10"/>
      <c r="H50" s="20"/>
      <c r="I50" s="23"/>
    </row>
    <row r="51" spans="5:10" x14ac:dyDescent="0.25">
      <c r="E51" s="16"/>
      <c r="F51" s="10"/>
      <c r="G51" s="10"/>
      <c r="H51" s="20"/>
      <c r="I51" s="23"/>
    </row>
    <row r="52" spans="5:10" x14ac:dyDescent="0.25">
      <c r="E52" s="16"/>
      <c r="F52" s="10"/>
      <c r="G52" s="10"/>
      <c r="H52" s="20"/>
      <c r="I52" s="23"/>
      <c r="J52" s="24"/>
    </row>
    <row r="53" spans="5:10" x14ac:dyDescent="0.25">
      <c r="E53" s="16"/>
      <c r="F53" s="10"/>
      <c r="G53" s="10"/>
      <c r="H53" s="20"/>
      <c r="I53" s="23"/>
      <c r="J53" s="24"/>
    </row>
    <row r="54" spans="5:10" x14ac:dyDescent="0.25">
      <c r="E54" s="16"/>
      <c r="F54" s="10"/>
      <c r="G54" s="10"/>
      <c r="H54" s="20"/>
      <c r="I54" s="23"/>
      <c r="J54" s="24"/>
    </row>
    <row r="55" spans="5:10" x14ac:dyDescent="0.25">
      <c r="E55" s="16"/>
      <c r="F55" s="10"/>
      <c r="G55" s="10"/>
      <c r="H55" s="20"/>
      <c r="I55" s="23"/>
      <c r="J55" s="24"/>
    </row>
    <row r="56" spans="5:10" x14ac:dyDescent="0.25">
      <c r="E56" s="16"/>
      <c r="F56" s="10"/>
      <c r="G56" s="10"/>
      <c r="H56" s="20"/>
      <c r="I56" s="23"/>
      <c r="J56" s="24"/>
    </row>
    <row r="57" spans="5:10" x14ac:dyDescent="0.25">
      <c r="E57" s="16"/>
      <c r="F57" s="10"/>
      <c r="G57" s="10"/>
      <c r="H57" s="20"/>
      <c r="I57" s="23"/>
      <c r="J57" s="24"/>
    </row>
    <row r="58" spans="5:10" x14ac:dyDescent="0.25">
      <c r="E58" s="16"/>
      <c r="F58" s="10"/>
      <c r="G58" s="10"/>
      <c r="H58" s="20"/>
      <c r="I58" s="23"/>
      <c r="J58" s="24"/>
    </row>
    <row r="59" spans="5:10" x14ac:dyDescent="0.25">
      <c r="E59" s="16"/>
      <c r="F59" s="10"/>
      <c r="G59" s="10"/>
      <c r="H59" s="20"/>
      <c r="I59" s="23"/>
      <c r="J59" s="24"/>
    </row>
    <row r="60" spans="5:10" x14ac:dyDescent="0.25">
      <c r="E60" s="16"/>
      <c r="F60" s="10"/>
      <c r="G60" s="10"/>
      <c r="H60" s="20"/>
      <c r="I60" s="23"/>
      <c r="J60" s="24"/>
    </row>
    <row r="61" spans="5:10" x14ac:dyDescent="0.25">
      <c r="E61" s="19" t="s">
        <v>50</v>
      </c>
      <c r="F61" s="5"/>
      <c r="G61" s="5"/>
      <c r="H61" s="6">
        <f>SUM(H11:H60)</f>
        <v>0</v>
      </c>
    </row>
  </sheetData>
  <mergeCells count="5">
    <mergeCell ref="B1:M1"/>
    <mergeCell ref="B9:C9"/>
    <mergeCell ref="E9:I9"/>
    <mergeCell ref="K9:M9"/>
    <mergeCell ref="K22:M23"/>
  </mergeCells>
  <conditionalFormatting sqref="I11:I51 I52:J60">
    <cfRule type="cellIs" dxfId="17" priority="1" operator="equal">
      <formula>"Pago"</formula>
    </cfRule>
    <cfRule type="cellIs" dxfId="16" priority="2" operator="equal">
      <formula>"Não pago"</formula>
    </cfRule>
  </conditionalFormatting>
  <dataValidations count="2">
    <dataValidation type="list" allowBlank="1" showInputMessage="1" showErrorMessage="1" sqref="J52:J60 I11:I60" xr:uid="{B4B86020-9064-42FD-B2B7-BB0AAC705C5D}">
      <formula1>"Pago,Não pago"</formula1>
    </dataValidation>
    <dataValidation type="list" allowBlank="1" error="Escolha uma categoria da lista" sqref="G11:G60" xr:uid="{9EFD7DB9-60CD-4889-88EB-87810E330316}">
      <formula1>$K$11:$K$18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072563-0A79-43FF-BF5C-DA8E57466E5C}">
          <x14:formula1>
            <xm:f>Resumo!$B$6:$B$17</xm:f>
          </x14:formula1>
          <xm:sqref>C2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45F0C-5B05-454E-AEA3-2C166F1FF554}">
  <sheetPr>
    <tabColor theme="3"/>
  </sheetPr>
  <dimension ref="B1:K110"/>
  <sheetViews>
    <sheetView showGridLines="0" zoomScaleNormal="100" workbookViewId="0">
      <selection activeCell="L26" sqref="L26"/>
    </sheetView>
  </sheetViews>
  <sheetFormatPr defaultColWidth="8.7109375" defaultRowHeight="15" x14ac:dyDescent="0.25"/>
  <cols>
    <col min="1" max="1" width="2" customWidth="1"/>
    <col min="2" max="2" width="15.5703125" customWidth="1"/>
    <col min="3" max="3" width="15" bestFit="1" customWidth="1"/>
    <col min="4" max="4" width="30" customWidth="1"/>
    <col min="5" max="5" width="9" customWidth="1"/>
    <col min="6" max="6" width="24" customWidth="1"/>
    <col min="7" max="7" width="12" customWidth="1"/>
    <col min="8" max="8" width="2" customWidth="1"/>
    <col min="9" max="9" width="24" customWidth="1"/>
    <col min="10" max="10" width="13" customWidth="1"/>
    <col min="11" max="11" width="8" customWidth="1"/>
  </cols>
  <sheetData>
    <row r="1" spans="2:11" ht="24" customHeight="1" x14ac:dyDescent="0.25">
      <c r="B1" s="45" t="s">
        <v>51</v>
      </c>
      <c r="C1" s="45"/>
      <c r="D1" s="45"/>
      <c r="E1" s="45"/>
      <c r="F1" s="45"/>
      <c r="G1" s="45"/>
      <c r="H1" s="45"/>
      <c r="I1" s="45"/>
      <c r="J1" s="45"/>
      <c r="K1" s="45"/>
    </row>
    <row r="2" spans="2:11" x14ac:dyDescent="0.25">
      <c r="C2" s="7" t="s">
        <v>26</v>
      </c>
      <c r="D2" s="9" t="s">
        <v>11</v>
      </c>
      <c r="E2" s="8" t="s">
        <v>52</v>
      </c>
    </row>
    <row r="3" spans="2:11" x14ac:dyDescent="0.25">
      <c r="I3" s="5" t="s">
        <v>145</v>
      </c>
      <c r="J3" s="6">
        <f>SUMIFS(G:G,B:B,I3)</f>
        <v>0</v>
      </c>
    </row>
    <row r="4" spans="2:11" x14ac:dyDescent="0.25">
      <c r="C4" s="5" t="s">
        <v>53</v>
      </c>
      <c r="D4" s="6">
        <f>G110</f>
        <v>0</v>
      </c>
      <c r="I4" s="5" t="s">
        <v>146</v>
      </c>
      <c r="J4" s="6">
        <f>SUMIFS(G:G,B:B,I4)</f>
        <v>0</v>
      </c>
    </row>
    <row r="5" spans="2:11" x14ac:dyDescent="0.25">
      <c r="I5" s="5" t="s">
        <v>147</v>
      </c>
      <c r="J5" s="6">
        <f>SUMIFS(G:G,B:B,I5)</f>
        <v>0</v>
      </c>
    </row>
    <row r="6" spans="2:11" x14ac:dyDescent="0.25">
      <c r="I6" s="43" t="s">
        <v>148</v>
      </c>
      <c r="J6" s="6">
        <f>SUM(J3:J5)</f>
        <v>0</v>
      </c>
    </row>
    <row r="8" spans="2:11" ht="16.5" x14ac:dyDescent="0.25">
      <c r="B8" s="45" t="s">
        <v>54</v>
      </c>
      <c r="C8" s="45"/>
      <c r="D8" s="45"/>
      <c r="E8" s="45"/>
      <c r="F8" s="45"/>
      <c r="G8" s="45"/>
      <c r="I8" s="45" t="s">
        <v>55</v>
      </c>
      <c r="J8" s="45"/>
      <c r="K8" s="45"/>
    </row>
    <row r="9" spans="2:11" x14ac:dyDescent="0.25">
      <c r="B9" s="1" t="s">
        <v>144</v>
      </c>
      <c r="C9" s="1" t="s">
        <v>36</v>
      </c>
      <c r="D9" s="1" t="s">
        <v>34</v>
      </c>
      <c r="E9" s="1" t="s">
        <v>56</v>
      </c>
      <c r="F9" s="1" t="s">
        <v>37</v>
      </c>
      <c r="G9" s="1" t="s">
        <v>35</v>
      </c>
      <c r="I9" s="1" t="s">
        <v>37</v>
      </c>
      <c r="J9" s="1" t="s">
        <v>38</v>
      </c>
      <c r="K9" s="1" t="s">
        <v>39</v>
      </c>
    </row>
    <row r="10" spans="2:11" x14ac:dyDescent="0.25">
      <c r="B10" s="16"/>
      <c r="C10" s="16"/>
      <c r="D10" s="31"/>
      <c r="E10" s="32"/>
      <c r="F10" s="31"/>
      <c r="G10" s="33"/>
      <c r="I10" s="40" t="s">
        <v>42</v>
      </c>
      <c r="J10" s="41">
        <f t="shared" ref="J10:J20" si="0">SUMIF($F$10:$F$109,I10,$G$10:$G$109)</f>
        <v>0</v>
      </c>
      <c r="K10" s="42">
        <f t="shared" ref="K10:K20" si="1">IF($J$21=0,0,J10/$J$21)</f>
        <v>0</v>
      </c>
    </row>
    <row r="11" spans="2:11" x14ac:dyDescent="0.25">
      <c r="B11" s="16"/>
      <c r="C11" s="16"/>
      <c r="D11" s="31"/>
      <c r="E11" s="32"/>
      <c r="F11" s="31"/>
      <c r="G11" s="33"/>
      <c r="I11" s="40" t="s">
        <v>57</v>
      </c>
      <c r="J11" s="41">
        <f t="shared" si="0"/>
        <v>0</v>
      </c>
      <c r="K11" s="42">
        <f t="shared" si="1"/>
        <v>0</v>
      </c>
    </row>
    <row r="12" spans="2:11" x14ac:dyDescent="0.25">
      <c r="B12" s="16"/>
      <c r="C12" s="16"/>
      <c r="D12" s="31"/>
      <c r="E12" s="32"/>
      <c r="F12" s="31"/>
      <c r="G12" s="33"/>
      <c r="I12" s="40" t="s">
        <v>58</v>
      </c>
      <c r="J12" s="41">
        <f t="shared" si="0"/>
        <v>0</v>
      </c>
      <c r="K12" s="42">
        <f t="shared" si="1"/>
        <v>0</v>
      </c>
    </row>
    <row r="13" spans="2:11" x14ac:dyDescent="0.25">
      <c r="B13" s="16"/>
      <c r="C13" s="16"/>
      <c r="D13" s="31"/>
      <c r="E13" s="32"/>
      <c r="F13" s="31"/>
      <c r="G13" s="33"/>
      <c r="I13" s="40" t="s">
        <v>59</v>
      </c>
      <c r="J13" s="41">
        <f t="shared" si="0"/>
        <v>0</v>
      </c>
      <c r="K13" s="42">
        <f t="shared" si="1"/>
        <v>0</v>
      </c>
    </row>
    <row r="14" spans="2:11" x14ac:dyDescent="0.25">
      <c r="B14" s="29"/>
      <c r="C14" s="29"/>
      <c r="D14" s="34"/>
      <c r="E14" s="35"/>
      <c r="F14" s="34"/>
      <c r="G14" s="36"/>
      <c r="I14" s="40" t="s">
        <v>60</v>
      </c>
      <c r="J14" s="41">
        <f t="shared" si="0"/>
        <v>0</v>
      </c>
      <c r="K14" s="42">
        <f t="shared" si="1"/>
        <v>0</v>
      </c>
    </row>
    <row r="15" spans="2:11" x14ac:dyDescent="0.25">
      <c r="B15" s="30"/>
      <c r="C15" s="30"/>
      <c r="D15" s="37"/>
      <c r="E15" s="38"/>
      <c r="F15" s="37"/>
      <c r="G15" s="39"/>
      <c r="I15" s="40" t="s">
        <v>61</v>
      </c>
      <c r="J15" s="41">
        <f t="shared" si="0"/>
        <v>0</v>
      </c>
      <c r="K15" s="42">
        <f t="shared" si="1"/>
        <v>0</v>
      </c>
    </row>
    <row r="16" spans="2:11" x14ac:dyDescent="0.25">
      <c r="B16" s="30"/>
      <c r="C16" s="30"/>
      <c r="D16" s="37"/>
      <c r="E16" s="38"/>
      <c r="F16" s="37"/>
      <c r="G16" s="39"/>
      <c r="I16" s="40" t="s">
        <v>62</v>
      </c>
      <c r="J16" s="41">
        <f t="shared" si="0"/>
        <v>0</v>
      </c>
      <c r="K16" s="42">
        <f t="shared" si="1"/>
        <v>0</v>
      </c>
    </row>
    <row r="17" spans="2:11" x14ac:dyDescent="0.25">
      <c r="B17" s="30"/>
      <c r="C17" s="30"/>
      <c r="D17" s="37"/>
      <c r="E17" s="38"/>
      <c r="F17" s="37"/>
      <c r="G17" s="39"/>
      <c r="I17" s="40" t="s">
        <v>46</v>
      </c>
      <c r="J17" s="41">
        <f t="shared" si="0"/>
        <v>0</v>
      </c>
      <c r="K17" s="42">
        <f t="shared" si="1"/>
        <v>0</v>
      </c>
    </row>
    <row r="18" spans="2:11" x14ac:dyDescent="0.25">
      <c r="B18" s="30"/>
      <c r="C18" s="30"/>
      <c r="D18" s="37"/>
      <c r="E18" s="38"/>
      <c r="F18" s="37"/>
      <c r="G18" s="39"/>
      <c r="I18" s="40" t="s">
        <v>63</v>
      </c>
      <c r="J18" s="41">
        <f t="shared" si="0"/>
        <v>0</v>
      </c>
      <c r="K18" s="42">
        <f t="shared" si="1"/>
        <v>0</v>
      </c>
    </row>
    <row r="19" spans="2:11" x14ac:dyDescent="0.25">
      <c r="B19" s="30"/>
      <c r="C19" s="30"/>
      <c r="D19" s="37"/>
      <c r="E19" s="38"/>
      <c r="F19" s="37"/>
      <c r="G19" s="39"/>
      <c r="I19" s="40" t="s">
        <v>45</v>
      </c>
      <c r="J19" s="41">
        <f t="shared" si="0"/>
        <v>0</v>
      </c>
      <c r="K19" s="42">
        <f t="shared" si="1"/>
        <v>0</v>
      </c>
    </row>
    <row r="20" spans="2:11" x14ac:dyDescent="0.25">
      <c r="B20" s="30"/>
      <c r="C20" s="30"/>
      <c r="D20" s="37"/>
      <c r="E20" s="38"/>
      <c r="F20" s="37"/>
      <c r="G20" s="39"/>
      <c r="I20" s="40" t="s">
        <v>47</v>
      </c>
      <c r="J20" s="41">
        <f t="shared" si="0"/>
        <v>0</v>
      </c>
      <c r="K20" s="42">
        <f t="shared" si="1"/>
        <v>0</v>
      </c>
    </row>
    <row r="21" spans="2:11" x14ac:dyDescent="0.25">
      <c r="B21" s="30"/>
      <c r="C21" s="30"/>
      <c r="D21" s="37"/>
      <c r="E21" s="38"/>
      <c r="F21" s="37"/>
      <c r="G21" s="39"/>
      <c r="I21" s="5" t="s">
        <v>38</v>
      </c>
      <c r="J21" s="6">
        <f>SUM(J10:J20)</f>
        <v>0</v>
      </c>
      <c r="K21" s="14">
        <f>IF(J21=0,0,J21/J21)</f>
        <v>0</v>
      </c>
    </row>
    <row r="22" spans="2:11" x14ac:dyDescent="0.25">
      <c r="B22" s="30"/>
      <c r="C22" s="30"/>
      <c r="D22" s="37"/>
      <c r="E22" s="38"/>
      <c r="F22" s="37"/>
      <c r="G22" s="39"/>
    </row>
    <row r="23" spans="2:11" x14ac:dyDescent="0.25">
      <c r="B23" s="30"/>
      <c r="C23" s="30"/>
      <c r="D23" s="37"/>
      <c r="E23" s="38"/>
      <c r="F23" s="37"/>
      <c r="G23" s="39"/>
    </row>
    <row r="24" spans="2:11" x14ac:dyDescent="0.25">
      <c r="B24" s="30"/>
      <c r="C24" s="30"/>
      <c r="D24" s="37"/>
      <c r="E24" s="38"/>
      <c r="F24" s="37"/>
      <c r="G24" s="39"/>
    </row>
    <row r="25" spans="2:11" x14ac:dyDescent="0.25">
      <c r="B25" s="30"/>
      <c r="C25" s="30"/>
      <c r="D25" s="37"/>
      <c r="E25" s="38"/>
      <c r="F25" s="37"/>
      <c r="G25" s="39"/>
    </row>
    <row r="26" spans="2:11" x14ac:dyDescent="0.25">
      <c r="B26" s="30"/>
      <c r="C26" s="30"/>
      <c r="D26" s="37"/>
      <c r="E26" s="38"/>
      <c r="F26" s="37"/>
      <c r="G26" s="39"/>
    </row>
    <row r="27" spans="2:11" x14ac:dyDescent="0.25">
      <c r="B27" s="30"/>
      <c r="C27" s="30"/>
      <c r="D27" s="37"/>
      <c r="E27" s="38"/>
      <c r="F27" s="37"/>
      <c r="G27" s="39"/>
    </row>
    <row r="28" spans="2:11" x14ac:dyDescent="0.25">
      <c r="B28" s="30"/>
      <c r="C28" s="30"/>
      <c r="D28" s="37"/>
      <c r="E28" s="38"/>
      <c r="F28" s="37"/>
      <c r="G28" s="39"/>
    </row>
    <row r="29" spans="2:11" x14ac:dyDescent="0.25">
      <c r="B29" s="30"/>
      <c r="C29" s="30"/>
      <c r="D29" s="37"/>
      <c r="E29" s="38"/>
      <c r="F29" s="37"/>
      <c r="G29" s="39"/>
    </row>
    <row r="30" spans="2:11" x14ac:dyDescent="0.25">
      <c r="B30" s="30"/>
      <c r="C30" s="30"/>
      <c r="D30" s="37"/>
      <c r="E30" s="38"/>
      <c r="F30" s="37"/>
      <c r="G30" s="39"/>
    </row>
    <row r="31" spans="2:11" x14ac:dyDescent="0.25">
      <c r="B31" s="30"/>
      <c r="C31" s="30"/>
      <c r="D31" s="37"/>
      <c r="E31" s="38"/>
      <c r="F31" s="37"/>
      <c r="G31" s="39"/>
    </row>
    <row r="32" spans="2:11" x14ac:dyDescent="0.25">
      <c r="B32" s="30"/>
      <c r="C32" s="30"/>
      <c r="D32" s="37"/>
      <c r="E32" s="38"/>
      <c r="F32" s="37"/>
      <c r="G32" s="39"/>
    </row>
    <row r="33" spans="2:7" x14ac:dyDescent="0.25">
      <c r="B33" s="30"/>
      <c r="C33" s="30"/>
      <c r="D33" s="37"/>
      <c r="E33" s="38"/>
      <c r="F33" s="37"/>
      <c r="G33" s="39"/>
    </row>
    <row r="34" spans="2:7" x14ac:dyDescent="0.25">
      <c r="B34" s="30"/>
      <c r="C34" s="30"/>
      <c r="D34" s="37"/>
      <c r="E34" s="38"/>
      <c r="F34" s="37"/>
      <c r="G34" s="39"/>
    </row>
    <row r="35" spans="2:7" x14ac:dyDescent="0.25">
      <c r="B35" s="30"/>
      <c r="C35" s="30"/>
      <c r="D35" s="37"/>
      <c r="E35" s="38"/>
      <c r="F35" s="37"/>
      <c r="G35" s="39"/>
    </row>
    <row r="36" spans="2:7" x14ac:dyDescent="0.25">
      <c r="B36" s="30"/>
      <c r="C36" s="30"/>
      <c r="D36" s="37"/>
      <c r="E36" s="38"/>
      <c r="F36" s="37"/>
      <c r="G36" s="39"/>
    </row>
    <row r="37" spans="2:7" x14ac:dyDescent="0.25">
      <c r="B37" s="30"/>
      <c r="C37" s="30"/>
      <c r="D37" s="37"/>
      <c r="E37" s="38"/>
      <c r="F37" s="37"/>
      <c r="G37" s="39"/>
    </row>
    <row r="38" spans="2:7" x14ac:dyDescent="0.25">
      <c r="B38" s="30"/>
      <c r="C38" s="30"/>
      <c r="D38" s="37"/>
      <c r="E38" s="38"/>
      <c r="F38" s="37"/>
      <c r="G38" s="39"/>
    </row>
    <row r="39" spans="2:7" x14ac:dyDescent="0.25">
      <c r="B39" s="30"/>
      <c r="C39" s="30"/>
      <c r="D39" s="37"/>
      <c r="E39" s="38"/>
      <c r="F39" s="37"/>
      <c r="G39" s="39"/>
    </row>
    <row r="40" spans="2:7" x14ac:dyDescent="0.25">
      <c r="B40" s="30"/>
      <c r="C40" s="30"/>
      <c r="D40" s="37"/>
      <c r="E40" s="38"/>
      <c r="F40" s="37"/>
      <c r="G40" s="39"/>
    </row>
    <row r="41" spans="2:7" x14ac:dyDescent="0.25">
      <c r="B41" s="30"/>
      <c r="C41" s="30"/>
      <c r="D41" s="37"/>
      <c r="E41" s="38"/>
      <c r="F41" s="37"/>
      <c r="G41" s="39"/>
    </row>
    <row r="42" spans="2:7" x14ac:dyDescent="0.25">
      <c r="B42" s="30"/>
      <c r="C42" s="30"/>
      <c r="D42" s="37"/>
      <c r="E42" s="38"/>
      <c r="F42" s="37"/>
      <c r="G42" s="39"/>
    </row>
    <row r="43" spans="2:7" x14ac:dyDescent="0.25">
      <c r="B43" s="30"/>
      <c r="C43" s="30"/>
      <c r="D43" s="37"/>
      <c r="E43" s="38"/>
      <c r="F43" s="37"/>
      <c r="G43" s="39"/>
    </row>
    <row r="44" spans="2:7" x14ac:dyDescent="0.25">
      <c r="B44" s="30"/>
      <c r="C44" s="30"/>
      <c r="D44" s="37"/>
      <c r="E44" s="38"/>
      <c r="F44" s="37"/>
      <c r="G44" s="39"/>
    </row>
    <row r="45" spans="2:7" x14ac:dyDescent="0.25">
      <c r="B45" s="30"/>
      <c r="C45" s="30"/>
      <c r="D45" s="37"/>
      <c r="E45" s="38"/>
      <c r="F45" s="37"/>
      <c r="G45" s="39"/>
    </row>
    <row r="46" spans="2:7" x14ac:dyDescent="0.25">
      <c r="B46" s="30"/>
      <c r="C46" s="30"/>
      <c r="D46" s="37"/>
      <c r="E46" s="38"/>
      <c r="F46" s="37"/>
      <c r="G46" s="39"/>
    </row>
    <row r="47" spans="2:7" x14ac:dyDescent="0.25">
      <c r="B47" s="30"/>
      <c r="C47" s="30"/>
      <c r="D47" s="37"/>
      <c r="E47" s="38"/>
      <c r="F47" s="37"/>
      <c r="G47" s="39"/>
    </row>
    <row r="48" spans="2:7" x14ac:dyDescent="0.25">
      <c r="B48" s="30"/>
      <c r="C48" s="30"/>
      <c r="D48" s="37"/>
      <c r="E48" s="38"/>
      <c r="F48" s="37"/>
      <c r="G48" s="39"/>
    </row>
    <row r="49" spans="2:7" x14ac:dyDescent="0.25">
      <c r="B49" s="30"/>
      <c r="C49" s="30"/>
      <c r="D49" s="37"/>
      <c r="E49" s="38"/>
      <c r="F49" s="37"/>
      <c r="G49" s="39"/>
    </row>
    <row r="50" spans="2:7" x14ac:dyDescent="0.25">
      <c r="B50" s="30"/>
      <c r="C50" s="30"/>
      <c r="D50" s="37"/>
      <c r="E50" s="38"/>
      <c r="F50" s="37"/>
      <c r="G50" s="39"/>
    </row>
    <row r="51" spans="2:7" x14ac:dyDescent="0.25">
      <c r="B51" s="30"/>
      <c r="C51" s="30"/>
      <c r="D51" s="37"/>
      <c r="E51" s="38"/>
      <c r="F51" s="37"/>
      <c r="G51" s="39"/>
    </row>
    <row r="52" spans="2:7" x14ac:dyDescent="0.25">
      <c r="B52" s="30"/>
      <c r="C52" s="30"/>
      <c r="D52" s="37"/>
      <c r="E52" s="38"/>
      <c r="F52" s="37"/>
      <c r="G52" s="39"/>
    </row>
    <row r="53" spans="2:7" x14ac:dyDescent="0.25">
      <c r="B53" s="30"/>
      <c r="C53" s="30"/>
      <c r="D53" s="37"/>
      <c r="E53" s="38"/>
      <c r="F53" s="37"/>
      <c r="G53" s="39"/>
    </row>
    <row r="54" spans="2:7" x14ac:dyDescent="0.25">
      <c r="B54" s="30"/>
      <c r="C54" s="30"/>
      <c r="D54" s="37"/>
      <c r="E54" s="38"/>
      <c r="F54" s="37"/>
      <c r="G54" s="39"/>
    </row>
    <row r="55" spans="2:7" x14ac:dyDescent="0.25">
      <c r="B55" s="30"/>
      <c r="C55" s="30"/>
      <c r="D55" s="37"/>
      <c r="E55" s="38"/>
      <c r="F55" s="37"/>
      <c r="G55" s="39"/>
    </row>
    <row r="56" spans="2:7" x14ac:dyDescent="0.25">
      <c r="B56" s="30"/>
      <c r="C56" s="30"/>
      <c r="D56" s="37"/>
      <c r="E56" s="38"/>
      <c r="F56" s="37"/>
      <c r="G56" s="39"/>
    </row>
    <row r="57" spans="2:7" x14ac:dyDescent="0.25">
      <c r="B57" s="30"/>
      <c r="C57" s="30"/>
      <c r="D57" s="37"/>
      <c r="E57" s="38"/>
      <c r="F57" s="37"/>
      <c r="G57" s="39"/>
    </row>
    <row r="58" spans="2:7" x14ac:dyDescent="0.25">
      <c r="B58" s="30"/>
      <c r="C58" s="30"/>
      <c r="D58" s="37"/>
      <c r="E58" s="38"/>
      <c r="F58" s="37"/>
      <c r="G58" s="39"/>
    </row>
    <row r="59" spans="2:7" x14ac:dyDescent="0.25">
      <c r="B59" s="30"/>
      <c r="C59" s="30"/>
      <c r="D59" s="37"/>
      <c r="E59" s="38"/>
      <c r="F59" s="37"/>
      <c r="G59" s="39"/>
    </row>
    <row r="60" spans="2:7" x14ac:dyDescent="0.25">
      <c r="B60" s="30"/>
      <c r="C60" s="30"/>
      <c r="D60" s="37"/>
      <c r="E60" s="38"/>
      <c r="F60" s="37"/>
      <c r="G60" s="39"/>
    </row>
    <row r="61" spans="2:7" x14ac:dyDescent="0.25">
      <c r="B61" s="30"/>
      <c r="C61" s="30"/>
      <c r="D61" s="37"/>
      <c r="E61" s="38"/>
      <c r="F61" s="37"/>
      <c r="G61" s="39"/>
    </row>
    <row r="62" spans="2:7" x14ac:dyDescent="0.25">
      <c r="B62" s="30"/>
      <c r="C62" s="30"/>
      <c r="D62" s="37"/>
      <c r="E62" s="38"/>
      <c r="F62" s="37"/>
      <c r="G62" s="39"/>
    </row>
    <row r="63" spans="2:7" x14ac:dyDescent="0.25">
      <c r="B63" s="30"/>
      <c r="C63" s="30"/>
      <c r="D63" s="37"/>
      <c r="E63" s="38"/>
      <c r="F63" s="37"/>
      <c r="G63" s="39"/>
    </row>
    <row r="64" spans="2:7" x14ac:dyDescent="0.25">
      <c r="B64" s="30"/>
      <c r="C64" s="30"/>
      <c r="D64" s="37"/>
      <c r="E64" s="38"/>
      <c r="F64" s="37"/>
      <c r="G64" s="39"/>
    </row>
    <row r="65" spans="2:7" x14ac:dyDescent="0.25">
      <c r="B65" s="30"/>
      <c r="C65" s="30"/>
      <c r="D65" s="37"/>
      <c r="E65" s="38"/>
      <c r="F65" s="37"/>
      <c r="G65" s="39"/>
    </row>
    <row r="66" spans="2:7" x14ac:dyDescent="0.25">
      <c r="B66" s="30"/>
      <c r="C66" s="30"/>
      <c r="D66" s="37"/>
      <c r="E66" s="38"/>
      <c r="F66" s="37"/>
      <c r="G66" s="39"/>
    </row>
    <row r="67" spans="2:7" x14ac:dyDescent="0.25">
      <c r="B67" s="30"/>
      <c r="C67" s="30"/>
      <c r="D67" s="37"/>
      <c r="E67" s="38"/>
      <c r="F67" s="37"/>
      <c r="G67" s="39"/>
    </row>
    <row r="68" spans="2:7" x14ac:dyDescent="0.25">
      <c r="B68" s="30"/>
      <c r="C68" s="30"/>
      <c r="D68" s="37"/>
      <c r="E68" s="38"/>
      <c r="F68" s="37"/>
      <c r="G68" s="39"/>
    </row>
    <row r="69" spans="2:7" x14ac:dyDescent="0.25">
      <c r="B69" s="30"/>
      <c r="C69" s="30"/>
      <c r="D69" s="37"/>
      <c r="E69" s="38"/>
      <c r="F69" s="37"/>
      <c r="G69" s="39"/>
    </row>
    <row r="70" spans="2:7" x14ac:dyDescent="0.25">
      <c r="B70" s="30"/>
      <c r="C70" s="30"/>
      <c r="D70" s="37"/>
      <c r="E70" s="38"/>
      <c r="F70" s="37"/>
      <c r="G70" s="39"/>
    </row>
    <row r="71" spans="2:7" x14ac:dyDescent="0.25">
      <c r="B71" s="30"/>
      <c r="C71" s="30"/>
      <c r="D71" s="37"/>
      <c r="E71" s="38"/>
      <c r="F71" s="37"/>
      <c r="G71" s="39"/>
    </row>
    <row r="72" spans="2:7" x14ac:dyDescent="0.25">
      <c r="B72" s="30"/>
      <c r="C72" s="30"/>
      <c r="D72" s="37"/>
      <c r="E72" s="38"/>
      <c r="F72" s="37"/>
      <c r="G72" s="39"/>
    </row>
    <row r="73" spans="2:7" x14ac:dyDescent="0.25">
      <c r="B73" s="30"/>
      <c r="C73" s="30"/>
      <c r="D73" s="37"/>
      <c r="E73" s="38"/>
      <c r="F73" s="37"/>
      <c r="G73" s="39"/>
    </row>
    <row r="74" spans="2:7" x14ac:dyDescent="0.25">
      <c r="B74" s="30"/>
      <c r="C74" s="30"/>
      <c r="D74" s="37"/>
      <c r="E74" s="38"/>
      <c r="F74" s="37"/>
      <c r="G74" s="39"/>
    </row>
    <row r="75" spans="2:7" x14ac:dyDescent="0.25">
      <c r="B75" s="30"/>
      <c r="C75" s="30"/>
      <c r="D75" s="37"/>
      <c r="E75" s="38"/>
      <c r="F75" s="37"/>
      <c r="G75" s="39"/>
    </row>
    <row r="76" spans="2:7" x14ac:dyDescent="0.25">
      <c r="B76" s="30"/>
      <c r="C76" s="30"/>
      <c r="D76" s="37"/>
      <c r="E76" s="38"/>
      <c r="F76" s="37"/>
      <c r="G76" s="39"/>
    </row>
    <row r="77" spans="2:7" x14ac:dyDescent="0.25">
      <c r="B77" s="30"/>
      <c r="C77" s="30"/>
      <c r="D77" s="37"/>
      <c r="E77" s="38"/>
      <c r="F77" s="37"/>
      <c r="G77" s="39"/>
    </row>
    <row r="78" spans="2:7" x14ac:dyDescent="0.25">
      <c r="B78" s="30"/>
      <c r="C78" s="30"/>
      <c r="D78" s="37"/>
      <c r="E78" s="38"/>
      <c r="F78" s="37"/>
      <c r="G78" s="39"/>
    </row>
    <row r="79" spans="2:7" x14ac:dyDescent="0.25">
      <c r="B79" s="30"/>
      <c r="C79" s="30"/>
      <c r="D79" s="37"/>
      <c r="E79" s="38"/>
      <c r="F79" s="37"/>
      <c r="G79" s="39"/>
    </row>
    <row r="80" spans="2:7" x14ac:dyDescent="0.25">
      <c r="B80" s="30"/>
      <c r="C80" s="30"/>
      <c r="D80" s="37"/>
      <c r="E80" s="38"/>
      <c r="F80" s="37"/>
      <c r="G80" s="39"/>
    </row>
    <row r="81" spans="2:7" x14ac:dyDescent="0.25">
      <c r="B81" s="30"/>
      <c r="C81" s="30"/>
      <c r="D81" s="37"/>
      <c r="E81" s="38"/>
      <c r="F81" s="37"/>
      <c r="G81" s="39"/>
    </row>
    <row r="82" spans="2:7" x14ac:dyDescent="0.25">
      <c r="B82" s="30"/>
      <c r="C82" s="30"/>
      <c r="D82" s="37"/>
      <c r="E82" s="38"/>
      <c r="F82" s="37"/>
      <c r="G82" s="39"/>
    </row>
    <row r="83" spans="2:7" x14ac:dyDescent="0.25">
      <c r="B83" s="30"/>
      <c r="C83" s="30"/>
      <c r="D83" s="37"/>
      <c r="E83" s="38"/>
      <c r="F83" s="37"/>
      <c r="G83" s="39"/>
    </row>
    <row r="84" spans="2:7" x14ac:dyDescent="0.25">
      <c r="B84" s="30"/>
      <c r="C84" s="30"/>
      <c r="D84" s="37"/>
      <c r="E84" s="38"/>
      <c r="F84" s="37"/>
      <c r="G84" s="39"/>
    </row>
    <row r="85" spans="2:7" x14ac:dyDescent="0.25">
      <c r="B85" s="30"/>
      <c r="C85" s="30"/>
      <c r="D85" s="37"/>
      <c r="E85" s="38"/>
      <c r="F85" s="37"/>
      <c r="G85" s="39"/>
    </row>
    <row r="86" spans="2:7" x14ac:dyDescent="0.25">
      <c r="B86" s="30"/>
      <c r="C86" s="30"/>
      <c r="D86" s="37"/>
      <c r="E86" s="38"/>
      <c r="F86" s="37"/>
      <c r="G86" s="39"/>
    </row>
    <row r="87" spans="2:7" x14ac:dyDescent="0.25">
      <c r="B87" s="30"/>
      <c r="C87" s="30"/>
      <c r="D87" s="37"/>
      <c r="E87" s="38"/>
      <c r="F87" s="37"/>
      <c r="G87" s="39"/>
    </row>
    <row r="88" spans="2:7" x14ac:dyDescent="0.25">
      <c r="B88" s="30"/>
      <c r="C88" s="30"/>
      <c r="D88" s="37"/>
      <c r="E88" s="38"/>
      <c r="F88" s="37"/>
      <c r="G88" s="39"/>
    </row>
    <row r="89" spans="2:7" x14ac:dyDescent="0.25">
      <c r="B89" s="30"/>
      <c r="C89" s="30"/>
      <c r="D89" s="37"/>
      <c r="E89" s="38"/>
      <c r="F89" s="37"/>
      <c r="G89" s="39"/>
    </row>
    <row r="90" spans="2:7" x14ac:dyDescent="0.25">
      <c r="B90" s="30"/>
      <c r="C90" s="30"/>
      <c r="D90" s="37"/>
      <c r="E90" s="38"/>
      <c r="F90" s="37"/>
      <c r="G90" s="39"/>
    </row>
    <row r="91" spans="2:7" x14ac:dyDescent="0.25">
      <c r="B91" s="30"/>
      <c r="C91" s="30"/>
      <c r="D91" s="37"/>
      <c r="E91" s="38"/>
      <c r="F91" s="37"/>
      <c r="G91" s="39"/>
    </row>
    <row r="92" spans="2:7" x14ac:dyDescent="0.25">
      <c r="B92" s="30"/>
      <c r="C92" s="30"/>
      <c r="D92" s="37"/>
      <c r="E92" s="38"/>
      <c r="F92" s="37"/>
      <c r="G92" s="39"/>
    </row>
    <row r="93" spans="2:7" x14ac:dyDescent="0.25">
      <c r="B93" s="30"/>
      <c r="C93" s="25"/>
      <c r="D93" s="26"/>
      <c r="E93" s="27"/>
      <c r="F93" s="26"/>
      <c r="G93" s="28"/>
    </row>
    <row r="94" spans="2:7" x14ac:dyDescent="0.25">
      <c r="B94" s="30"/>
      <c r="C94" s="12"/>
      <c r="D94" s="10"/>
      <c r="E94" s="15"/>
      <c r="F94" s="10"/>
      <c r="G94" s="11"/>
    </row>
    <row r="95" spans="2:7" x14ac:dyDescent="0.25">
      <c r="B95" s="30"/>
      <c r="C95" s="12"/>
      <c r="D95" s="10"/>
      <c r="E95" s="15"/>
      <c r="F95" s="10"/>
      <c r="G95" s="11"/>
    </row>
    <row r="96" spans="2:7" x14ac:dyDescent="0.25">
      <c r="B96" s="30"/>
      <c r="C96" s="12"/>
      <c r="D96" s="10"/>
      <c r="E96" s="15"/>
      <c r="F96" s="10"/>
      <c r="G96" s="11"/>
    </row>
    <row r="97" spans="2:7" x14ac:dyDescent="0.25">
      <c r="B97" s="30"/>
      <c r="C97" s="12"/>
      <c r="D97" s="10"/>
      <c r="E97" s="15"/>
      <c r="F97" s="10"/>
      <c r="G97" s="11"/>
    </row>
    <row r="98" spans="2:7" x14ac:dyDescent="0.25">
      <c r="B98" s="30"/>
      <c r="C98" s="12"/>
      <c r="D98" s="10"/>
      <c r="E98" s="15"/>
      <c r="F98" s="10"/>
      <c r="G98" s="11"/>
    </row>
    <row r="99" spans="2:7" x14ac:dyDescent="0.25">
      <c r="B99" s="30"/>
      <c r="C99" s="12"/>
      <c r="D99" s="10"/>
      <c r="E99" s="15"/>
      <c r="F99" s="10"/>
      <c r="G99" s="11"/>
    </row>
    <row r="100" spans="2:7" x14ac:dyDescent="0.25">
      <c r="B100" s="30"/>
      <c r="C100" s="12"/>
      <c r="D100" s="10"/>
      <c r="E100" s="15"/>
      <c r="F100" s="10"/>
      <c r="G100" s="11"/>
    </row>
    <row r="101" spans="2:7" x14ac:dyDescent="0.25">
      <c r="B101" s="30"/>
      <c r="C101" s="12"/>
      <c r="D101" s="10"/>
      <c r="E101" s="15"/>
      <c r="F101" s="10"/>
      <c r="G101" s="11"/>
    </row>
    <row r="102" spans="2:7" x14ac:dyDescent="0.25">
      <c r="B102" s="30"/>
      <c r="C102" s="12"/>
      <c r="D102" s="10"/>
      <c r="E102" s="15"/>
      <c r="F102" s="10"/>
      <c r="G102" s="11"/>
    </row>
    <row r="103" spans="2:7" x14ac:dyDescent="0.25">
      <c r="B103" s="30"/>
      <c r="C103" s="12"/>
      <c r="D103" s="10"/>
      <c r="E103" s="15"/>
      <c r="F103" s="10"/>
      <c r="G103" s="11"/>
    </row>
    <row r="104" spans="2:7" x14ac:dyDescent="0.25">
      <c r="B104" s="30"/>
      <c r="C104" s="12"/>
      <c r="D104" s="10"/>
      <c r="E104" s="15"/>
      <c r="F104" s="10"/>
      <c r="G104" s="11"/>
    </row>
    <row r="105" spans="2:7" x14ac:dyDescent="0.25">
      <c r="B105" s="30"/>
      <c r="C105" s="12"/>
      <c r="D105" s="10"/>
      <c r="E105" s="15"/>
      <c r="F105" s="10"/>
      <c r="G105" s="11"/>
    </row>
    <row r="106" spans="2:7" x14ac:dyDescent="0.25">
      <c r="B106" s="30"/>
      <c r="C106" s="12"/>
      <c r="D106" s="10"/>
      <c r="E106" s="15"/>
      <c r="F106" s="10"/>
      <c r="G106" s="11"/>
    </row>
    <row r="107" spans="2:7" x14ac:dyDescent="0.25">
      <c r="B107" s="30"/>
      <c r="C107" s="12"/>
      <c r="D107" s="10"/>
      <c r="E107" s="15"/>
      <c r="F107" s="10"/>
      <c r="G107" s="11"/>
    </row>
    <row r="108" spans="2:7" x14ac:dyDescent="0.25">
      <c r="B108" s="30"/>
      <c r="C108" s="12"/>
      <c r="D108" s="10"/>
      <c r="E108" s="15"/>
      <c r="F108" s="10"/>
      <c r="G108" s="11"/>
    </row>
    <row r="109" spans="2:7" x14ac:dyDescent="0.25">
      <c r="B109" s="30"/>
      <c r="C109" s="12"/>
      <c r="D109" s="10"/>
      <c r="E109" s="15"/>
      <c r="F109" s="10"/>
      <c r="G109" s="11"/>
    </row>
    <row r="110" spans="2:7" x14ac:dyDescent="0.25">
      <c r="B110" s="5" t="s">
        <v>38</v>
      </c>
      <c r="C110" s="5" t="s">
        <v>38</v>
      </c>
      <c r="D110" s="5"/>
      <c r="E110" s="5"/>
      <c r="F110" s="5"/>
      <c r="G110" s="6">
        <f>SUM(G10:G109)</f>
        <v>0</v>
      </c>
    </row>
  </sheetData>
  <autoFilter ref="B9:G93" xr:uid="{00000000-0001-0000-0200-000000000000}"/>
  <mergeCells count="3">
    <mergeCell ref="B1:K1"/>
    <mergeCell ref="B8:G8"/>
    <mergeCell ref="I8:K8"/>
  </mergeCells>
  <dataValidations count="1">
    <dataValidation type="list" allowBlank="1" showInputMessage="1" showErrorMessage="1" sqref="F10:F109" xr:uid="{D1D112FB-830C-40F6-B083-2B7E572EEE43}">
      <formula1>$I$10:$I$20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D5E50A-92B3-4BD8-8D59-8A6F7033B636}">
          <x14:formula1>
            <xm:f>Resumo!$B$6:$B$17</xm:f>
          </x14:formula1>
          <xm:sqref>D2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6585-520A-4394-AD1B-EB2CDF7780A2}">
  <sheetPr>
    <tabColor theme="4"/>
  </sheetPr>
  <dimension ref="A1:M61"/>
  <sheetViews>
    <sheetView showGridLines="0" zoomScaleNormal="100" workbookViewId="0">
      <selection activeCell="K22" sqref="K22:M23"/>
    </sheetView>
  </sheetViews>
  <sheetFormatPr defaultColWidth="8.7109375" defaultRowHeight="15" x14ac:dyDescent="0.25"/>
  <cols>
    <col min="1" max="1" width="2" customWidth="1"/>
    <col min="2" max="2" width="22" customWidth="1"/>
    <col min="3" max="3" width="14" customWidth="1"/>
    <col min="4" max="4" width="4" customWidth="1"/>
    <col min="5" max="5" width="11" style="18" customWidth="1"/>
    <col min="6" max="6" width="26" customWidth="1"/>
    <col min="7" max="7" width="25.7109375" bestFit="1" customWidth="1"/>
    <col min="8" max="8" width="12" customWidth="1"/>
    <col min="9" max="9" width="12.7109375" customWidth="1"/>
    <col min="10" max="10" width="2" customWidth="1"/>
    <col min="11" max="11" width="26" customWidth="1"/>
    <col min="12" max="12" width="13" customWidth="1"/>
    <col min="13" max="13" width="9.7109375" customWidth="1"/>
  </cols>
  <sheetData>
    <row r="1" spans="1:13" ht="24" customHeight="1" x14ac:dyDescent="0.25">
      <c r="B1" s="45" t="s">
        <v>25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x14ac:dyDescent="0.25">
      <c r="B2" s="7" t="s">
        <v>26</v>
      </c>
      <c r="C2" s="9" t="s">
        <v>12</v>
      </c>
      <c r="D2" s="8" t="s">
        <v>27</v>
      </c>
    </row>
    <row r="4" spans="1:13" x14ac:dyDescent="0.25">
      <c r="B4" s="5" t="s">
        <v>28</v>
      </c>
      <c r="C4" s="6">
        <f>C21</f>
        <v>0</v>
      </c>
      <c r="G4" s="5" t="s">
        <v>71</v>
      </c>
      <c r="H4" s="6">
        <f>SUMIF($I$11:$I$60,"Pago",$H$11:$H$60)</f>
        <v>0</v>
      </c>
    </row>
    <row r="5" spans="1:13" x14ac:dyDescent="0.25">
      <c r="B5" s="5" t="s">
        <v>29</v>
      </c>
      <c r="C5" s="6">
        <f>L20</f>
        <v>0</v>
      </c>
      <c r="G5" s="5" t="s">
        <v>72</v>
      </c>
      <c r="H5" s="6">
        <f>SUMIF($I$11:$I$60,"Não pago",$H$11:$H$60)</f>
        <v>0</v>
      </c>
    </row>
    <row r="6" spans="1:13" x14ac:dyDescent="0.25">
      <c r="B6" s="5" t="s">
        <v>30</v>
      </c>
      <c r="C6" s="6">
        <f>C4-C5</f>
        <v>0</v>
      </c>
    </row>
    <row r="8" spans="1:13" x14ac:dyDescent="0.25">
      <c r="A8" s="18"/>
      <c r="B8" s="18"/>
      <c r="C8" s="18"/>
      <c r="D8" s="18"/>
    </row>
    <row r="9" spans="1:13" ht="16.5" x14ac:dyDescent="0.25">
      <c r="B9" s="45" t="s">
        <v>31</v>
      </c>
      <c r="C9" s="45"/>
      <c r="E9" s="45" t="s">
        <v>32</v>
      </c>
      <c r="F9" s="45"/>
      <c r="G9" s="45"/>
      <c r="H9" s="45"/>
      <c r="I9" s="45"/>
      <c r="K9" s="45" t="s">
        <v>33</v>
      </c>
      <c r="L9" s="45"/>
      <c r="M9" s="45"/>
    </row>
    <row r="10" spans="1:13" x14ac:dyDescent="0.25">
      <c r="B10" s="1" t="s">
        <v>34</v>
      </c>
      <c r="C10" s="1" t="s">
        <v>35</v>
      </c>
      <c r="E10" s="17" t="s">
        <v>36</v>
      </c>
      <c r="F10" s="1" t="s">
        <v>34</v>
      </c>
      <c r="G10" s="1" t="s">
        <v>37</v>
      </c>
      <c r="H10" s="1" t="s">
        <v>35</v>
      </c>
      <c r="I10" s="1" t="s">
        <v>70</v>
      </c>
      <c r="K10" s="1" t="s">
        <v>37</v>
      </c>
      <c r="L10" s="1" t="s">
        <v>38</v>
      </c>
      <c r="M10" s="1" t="s">
        <v>39</v>
      </c>
    </row>
    <row r="11" spans="1:13" x14ac:dyDescent="0.25">
      <c r="B11" s="10"/>
      <c r="C11" s="11"/>
      <c r="E11" s="16"/>
      <c r="F11" s="10"/>
      <c r="G11" s="10"/>
      <c r="H11" s="20"/>
      <c r="I11" s="23"/>
      <c r="K11" s="21" t="s">
        <v>40</v>
      </c>
      <c r="L11" s="4">
        <f t="shared" ref="L11:L18" si="0">SUMIF($G$11:$G$60,K11,$H$11:$H$60)</f>
        <v>0</v>
      </c>
      <c r="M11" s="13">
        <f t="shared" ref="M11:M18" si="1">IF($L$20=0,0,L11/$L$20)</f>
        <v>0</v>
      </c>
    </row>
    <row r="12" spans="1:13" x14ac:dyDescent="0.25">
      <c r="B12" s="10"/>
      <c r="C12" s="11"/>
      <c r="E12" s="16"/>
      <c r="F12" s="10"/>
      <c r="G12" s="10"/>
      <c r="H12" s="20"/>
      <c r="I12" s="23"/>
      <c r="K12" s="21" t="s">
        <v>41</v>
      </c>
      <c r="L12" s="4">
        <f t="shared" si="0"/>
        <v>0</v>
      </c>
      <c r="M12" s="13">
        <f t="shared" si="1"/>
        <v>0</v>
      </c>
    </row>
    <row r="13" spans="1:13" x14ac:dyDescent="0.25">
      <c r="B13" s="10"/>
      <c r="C13" s="11"/>
      <c r="E13" s="16"/>
      <c r="F13" s="10"/>
      <c r="G13" s="10"/>
      <c r="H13" s="20"/>
      <c r="I13" s="23"/>
      <c r="K13" s="21" t="s">
        <v>42</v>
      </c>
      <c r="L13" s="4">
        <f t="shared" si="0"/>
        <v>0</v>
      </c>
      <c r="M13" s="13">
        <f t="shared" si="1"/>
        <v>0</v>
      </c>
    </row>
    <row r="14" spans="1:13" x14ac:dyDescent="0.25">
      <c r="B14" s="10"/>
      <c r="C14" s="11"/>
      <c r="E14" s="16"/>
      <c r="F14" s="10"/>
      <c r="G14" s="10"/>
      <c r="H14" s="20"/>
      <c r="I14" s="23"/>
      <c r="K14" s="21" t="s">
        <v>43</v>
      </c>
      <c r="L14" s="4">
        <f t="shared" si="0"/>
        <v>0</v>
      </c>
      <c r="M14" s="13">
        <f t="shared" si="1"/>
        <v>0</v>
      </c>
    </row>
    <row r="15" spans="1:13" x14ac:dyDescent="0.25">
      <c r="B15" s="10"/>
      <c r="C15" s="11"/>
      <c r="E15" s="16"/>
      <c r="F15" s="10"/>
      <c r="G15" s="10"/>
      <c r="H15" s="20"/>
      <c r="I15" s="23"/>
      <c r="K15" s="21" t="s">
        <v>44</v>
      </c>
      <c r="L15" s="4">
        <f t="shared" si="0"/>
        <v>0</v>
      </c>
      <c r="M15" s="13">
        <f t="shared" si="1"/>
        <v>0</v>
      </c>
    </row>
    <row r="16" spans="1:13" x14ac:dyDescent="0.25">
      <c r="B16" s="10"/>
      <c r="C16" s="11"/>
      <c r="E16" s="16"/>
      <c r="F16" s="10"/>
      <c r="G16" s="10"/>
      <c r="H16" s="20"/>
      <c r="I16" s="23"/>
      <c r="K16" s="21" t="s">
        <v>45</v>
      </c>
      <c r="L16" s="4">
        <f t="shared" si="0"/>
        <v>0</v>
      </c>
      <c r="M16" s="13">
        <f t="shared" si="1"/>
        <v>0</v>
      </c>
    </row>
    <row r="17" spans="2:13" x14ac:dyDescent="0.25">
      <c r="B17" s="10"/>
      <c r="C17" s="11"/>
      <c r="E17" s="16"/>
      <c r="F17" s="10"/>
      <c r="G17" s="10"/>
      <c r="H17" s="20"/>
      <c r="I17" s="23"/>
      <c r="K17" s="21" t="s">
        <v>46</v>
      </c>
      <c r="L17" s="4">
        <f t="shared" si="0"/>
        <v>0</v>
      </c>
      <c r="M17" s="13">
        <f t="shared" si="1"/>
        <v>0</v>
      </c>
    </row>
    <row r="18" spans="2:13" x14ac:dyDescent="0.25">
      <c r="B18" s="10"/>
      <c r="C18" s="11"/>
      <c r="E18" s="16"/>
      <c r="F18" s="10"/>
      <c r="G18" s="10"/>
      <c r="H18" s="20"/>
      <c r="I18" s="23"/>
      <c r="K18" s="21" t="s">
        <v>47</v>
      </c>
      <c r="L18" s="4">
        <f t="shared" si="0"/>
        <v>0</v>
      </c>
      <c r="M18" s="13">
        <f t="shared" si="1"/>
        <v>0</v>
      </c>
    </row>
    <row r="19" spans="2:13" x14ac:dyDescent="0.25">
      <c r="B19" s="10"/>
      <c r="C19" s="11"/>
      <c r="E19" s="16"/>
      <c r="F19" s="10"/>
      <c r="G19" s="10"/>
      <c r="H19" s="20"/>
      <c r="I19" s="23"/>
      <c r="K19" s="21" t="s">
        <v>48</v>
      </c>
      <c r="L19" s="3">
        <f>IFERROR('Junho-Cartão'!D4,0)</f>
        <v>0</v>
      </c>
      <c r="M19" s="13">
        <f>IF($L$20=0,0,L19/$L$20)</f>
        <v>0</v>
      </c>
    </row>
    <row r="20" spans="2:13" x14ac:dyDescent="0.25">
      <c r="B20" s="10"/>
      <c r="C20" s="11"/>
      <c r="E20" s="16"/>
      <c r="F20" s="10"/>
      <c r="G20" s="10"/>
      <c r="H20" s="20"/>
      <c r="I20" s="23"/>
      <c r="K20" s="22" t="s">
        <v>38</v>
      </c>
      <c r="L20" s="6">
        <f>SUM(L11:L19)</f>
        <v>0</v>
      </c>
      <c r="M20" s="14">
        <f>IF(L20=0,0,L20/L20)</f>
        <v>0</v>
      </c>
    </row>
    <row r="21" spans="2:13" x14ac:dyDescent="0.25">
      <c r="B21" s="5" t="s">
        <v>38</v>
      </c>
      <c r="C21" s="6">
        <f>SUM(C11:C20)</f>
        <v>0</v>
      </c>
      <c r="E21" s="16"/>
      <c r="F21" s="10"/>
      <c r="G21" s="10"/>
      <c r="H21" s="20"/>
      <c r="I21" s="23"/>
    </row>
    <row r="22" spans="2:13" x14ac:dyDescent="0.25">
      <c r="E22" s="16"/>
      <c r="F22" s="10"/>
      <c r="G22" s="10"/>
      <c r="H22" s="20"/>
      <c r="I22" s="23"/>
      <c r="K22" s="44" t="s">
        <v>49</v>
      </c>
      <c r="L22" s="44"/>
      <c r="M22" s="44"/>
    </row>
    <row r="23" spans="2:13" x14ac:dyDescent="0.25">
      <c r="E23" s="16"/>
      <c r="F23" s="10"/>
      <c r="G23" s="10"/>
      <c r="H23" s="20"/>
      <c r="I23" s="23"/>
      <c r="K23" s="44"/>
      <c r="L23" s="44"/>
      <c r="M23" s="44"/>
    </row>
    <row r="24" spans="2:13" x14ac:dyDescent="0.25">
      <c r="E24" s="16"/>
      <c r="F24" s="10"/>
      <c r="G24" s="10"/>
      <c r="H24" s="20"/>
      <c r="I24" s="23"/>
    </row>
    <row r="25" spans="2:13" x14ac:dyDescent="0.25">
      <c r="E25" s="16"/>
      <c r="F25" s="10"/>
      <c r="G25" s="10"/>
      <c r="H25" s="20"/>
      <c r="I25" s="23"/>
    </row>
    <row r="26" spans="2:13" x14ac:dyDescent="0.25">
      <c r="E26" s="16"/>
      <c r="F26" s="10"/>
      <c r="G26" s="10"/>
      <c r="H26" s="20"/>
      <c r="I26" s="23"/>
    </row>
    <row r="27" spans="2:13" x14ac:dyDescent="0.25">
      <c r="E27" s="16"/>
      <c r="F27" s="10"/>
      <c r="G27" s="10"/>
      <c r="H27" s="20"/>
      <c r="I27" s="23"/>
    </row>
    <row r="28" spans="2:13" x14ac:dyDescent="0.25">
      <c r="E28" s="16"/>
      <c r="F28" s="10"/>
      <c r="G28" s="10"/>
      <c r="H28" s="20"/>
      <c r="I28" s="23"/>
    </row>
    <row r="29" spans="2:13" x14ac:dyDescent="0.25">
      <c r="E29" s="16"/>
      <c r="F29" s="10"/>
      <c r="G29" s="10"/>
      <c r="H29" s="20"/>
      <c r="I29" s="23"/>
    </row>
    <row r="30" spans="2:13" x14ac:dyDescent="0.25">
      <c r="E30" s="16"/>
      <c r="F30" s="10"/>
      <c r="G30" s="10"/>
      <c r="H30" s="20"/>
      <c r="I30" s="23"/>
    </row>
    <row r="31" spans="2:13" x14ac:dyDescent="0.25">
      <c r="E31" s="16"/>
      <c r="F31" s="10"/>
      <c r="G31" s="10"/>
      <c r="H31" s="20"/>
      <c r="I31" s="23"/>
    </row>
    <row r="32" spans="2:13" x14ac:dyDescent="0.25">
      <c r="E32" s="16"/>
      <c r="F32" s="10"/>
      <c r="G32" s="10"/>
      <c r="H32" s="20"/>
      <c r="I32" s="23"/>
    </row>
    <row r="33" spans="5:9" x14ac:dyDescent="0.25">
      <c r="E33" s="16"/>
      <c r="F33" s="10"/>
      <c r="G33" s="10"/>
      <c r="H33" s="20"/>
      <c r="I33" s="23"/>
    </row>
    <row r="34" spans="5:9" x14ac:dyDescent="0.25">
      <c r="E34" s="16"/>
      <c r="F34" s="10"/>
      <c r="G34" s="10"/>
      <c r="H34" s="20"/>
      <c r="I34" s="23"/>
    </row>
    <row r="35" spans="5:9" x14ac:dyDescent="0.25">
      <c r="E35" s="16"/>
      <c r="F35" s="10"/>
      <c r="G35" s="10"/>
      <c r="H35" s="20"/>
      <c r="I35" s="23"/>
    </row>
    <row r="36" spans="5:9" x14ac:dyDescent="0.25">
      <c r="E36" s="16"/>
      <c r="F36" s="10"/>
      <c r="G36" s="10"/>
      <c r="H36" s="20"/>
      <c r="I36" s="23"/>
    </row>
    <row r="37" spans="5:9" x14ac:dyDescent="0.25">
      <c r="E37" s="16"/>
      <c r="F37" s="10"/>
      <c r="G37" s="10"/>
      <c r="H37" s="20"/>
      <c r="I37" s="23"/>
    </row>
    <row r="38" spans="5:9" x14ac:dyDescent="0.25">
      <c r="E38" s="16"/>
      <c r="F38" s="10"/>
      <c r="G38" s="10"/>
      <c r="H38" s="20"/>
      <c r="I38" s="23"/>
    </row>
    <row r="39" spans="5:9" x14ac:dyDescent="0.25">
      <c r="E39" s="16"/>
      <c r="F39" s="10"/>
      <c r="G39" s="10"/>
      <c r="H39" s="20"/>
      <c r="I39" s="23"/>
    </row>
    <row r="40" spans="5:9" x14ac:dyDescent="0.25">
      <c r="E40" s="16"/>
      <c r="F40" s="10"/>
      <c r="G40" s="10"/>
      <c r="H40" s="20"/>
      <c r="I40" s="23"/>
    </row>
    <row r="41" spans="5:9" x14ac:dyDescent="0.25">
      <c r="E41" s="16"/>
      <c r="F41" s="10"/>
      <c r="G41" s="10"/>
      <c r="H41" s="20"/>
      <c r="I41" s="23"/>
    </row>
    <row r="42" spans="5:9" x14ac:dyDescent="0.25">
      <c r="E42" s="16"/>
      <c r="F42" s="10"/>
      <c r="G42" s="10"/>
      <c r="H42" s="20"/>
      <c r="I42" s="23"/>
    </row>
    <row r="43" spans="5:9" x14ac:dyDescent="0.25">
      <c r="E43" s="16"/>
      <c r="F43" s="10"/>
      <c r="G43" s="10"/>
      <c r="H43" s="20"/>
      <c r="I43" s="23"/>
    </row>
    <row r="44" spans="5:9" x14ac:dyDescent="0.25">
      <c r="E44" s="16"/>
      <c r="F44" s="10"/>
      <c r="G44" s="10"/>
      <c r="H44" s="20"/>
      <c r="I44" s="23"/>
    </row>
    <row r="45" spans="5:9" x14ac:dyDescent="0.25">
      <c r="E45" s="16"/>
      <c r="F45" s="10"/>
      <c r="G45" s="10"/>
      <c r="H45" s="20"/>
      <c r="I45" s="23"/>
    </row>
    <row r="46" spans="5:9" x14ac:dyDescent="0.25">
      <c r="E46" s="16"/>
      <c r="F46" s="10"/>
      <c r="G46" s="10"/>
      <c r="H46" s="20"/>
      <c r="I46" s="23"/>
    </row>
    <row r="47" spans="5:9" x14ac:dyDescent="0.25">
      <c r="E47" s="16"/>
      <c r="F47" s="10"/>
      <c r="G47" s="10"/>
      <c r="H47" s="20"/>
      <c r="I47" s="23"/>
    </row>
    <row r="48" spans="5:9" x14ac:dyDescent="0.25">
      <c r="E48" s="16"/>
      <c r="F48" s="10"/>
      <c r="G48" s="10"/>
      <c r="H48" s="20"/>
      <c r="I48" s="23"/>
    </row>
    <row r="49" spans="5:10" x14ac:dyDescent="0.25">
      <c r="E49" s="16"/>
      <c r="F49" s="10"/>
      <c r="G49" s="10"/>
      <c r="H49" s="20"/>
      <c r="I49" s="23"/>
    </row>
    <row r="50" spans="5:10" x14ac:dyDescent="0.25">
      <c r="E50" s="16"/>
      <c r="F50" s="10"/>
      <c r="G50" s="10"/>
      <c r="H50" s="20"/>
      <c r="I50" s="23"/>
    </row>
    <row r="51" spans="5:10" x14ac:dyDescent="0.25">
      <c r="E51" s="16"/>
      <c r="F51" s="10"/>
      <c r="G51" s="10"/>
      <c r="H51" s="20"/>
      <c r="I51" s="23"/>
    </row>
    <row r="52" spans="5:10" x14ac:dyDescent="0.25">
      <c r="E52" s="16"/>
      <c r="F52" s="10"/>
      <c r="G52" s="10"/>
      <c r="H52" s="20"/>
      <c r="I52" s="23"/>
      <c r="J52" s="24"/>
    </row>
    <row r="53" spans="5:10" x14ac:dyDescent="0.25">
      <c r="E53" s="16"/>
      <c r="F53" s="10"/>
      <c r="G53" s="10"/>
      <c r="H53" s="20"/>
      <c r="I53" s="23"/>
      <c r="J53" s="24"/>
    </row>
    <row r="54" spans="5:10" x14ac:dyDescent="0.25">
      <c r="E54" s="16"/>
      <c r="F54" s="10"/>
      <c r="G54" s="10"/>
      <c r="H54" s="20"/>
      <c r="I54" s="23"/>
      <c r="J54" s="24"/>
    </row>
    <row r="55" spans="5:10" x14ac:dyDescent="0.25">
      <c r="E55" s="16"/>
      <c r="F55" s="10"/>
      <c r="G55" s="10"/>
      <c r="H55" s="20"/>
      <c r="I55" s="23"/>
      <c r="J55" s="24"/>
    </row>
    <row r="56" spans="5:10" x14ac:dyDescent="0.25">
      <c r="E56" s="16"/>
      <c r="F56" s="10"/>
      <c r="G56" s="10"/>
      <c r="H56" s="20"/>
      <c r="I56" s="23"/>
      <c r="J56" s="24"/>
    </row>
    <row r="57" spans="5:10" x14ac:dyDescent="0.25">
      <c r="E57" s="16"/>
      <c r="F57" s="10"/>
      <c r="G57" s="10"/>
      <c r="H57" s="20"/>
      <c r="I57" s="23"/>
      <c r="J57" s="24"/>
    </row>
    <row r="58" spans="5:10" x14ac:dyDescent="0.25">
      <c r="E58" s="16"/>
      <c r="F58" s="10"/>
      <c r="G58" s="10"/>
      <c r="H58" s="20"/>
      <c r="I58" s="23"/>
      <c r="J58" s="24"/>
    </row>
    <row r="59" spans="5:10" x14ac:dyDescent="0.25">
      <c r="E59" s="16"/>
      <c r="F59" s="10"/>
      <c r="G59" s="10"/>
      <c r="H59" s="20"/>
      <c r="I59" s="23"/>
      <c r="J59" s="24"/>
    </row>
    <row r="60" spans="5:10" x14ac:dyDescent="0.25">
      <c r="E60" s="16"/>
      <c r="F60" s="10"/>
      <c r="G60" s="10"/>
      <c r="H60" s="20"/>
      <c r="I60" s="23"/>
      <c r="J60" s="24"/>
    </row>
    <row r="61" spans="5:10" x14ac:dyDescent="0.25">
      <c r="E61" s="19" t="s">
        <v>50</v>
      </c>
      <c r="F61" s="5"/>
      <c r="G61" s="5"/>
      <c r="H61" s="6">
        <f>SUM(H11:H60)</f>
        <v>0</v>
      </c>
    </row>
  </sheetData>
  <mergeCells count="5">
    <mergeCell ref="B1:M1"/>
    <mergeCell ref="B9:C9"/>
    <mergeCell ref="E9:I9"/>
    <mergeCell ref="K9:M9"/>
    <mergeCell ref="K22:M23"/>
  </mergeCells>
  <conditionalFormatting sqref="I11:I51 I52:J60">
    <cfRule type="cellIs" dxfId="15" priority="1" operator="equal">
      <formula>"Pago"</formula>
    </cfRule>
    <cfRule type="cellIs" dxfId="14" priority="2" operator="equal">
      <formula>"Não pago"</formula>
    </cfRule>
  </conditionalFormatting>
  <dataValidations count="2">
    <dataValidation type="list" allowBlank="1" showInputMessage="1" showErrorMessage="1" sqref="J52:J60 I11:I60" xr:uid="{351B624C-907F-4872-8CC5-2F5AF6F465E6}">
      <formula1>"Pago,Não pago"</formula1>
    </dataValidation>
    <dataValidation type="list" allowBlank="1" error="Escolha uma categoria da lista" sqref="G11:G60" xr:uid="{FB6F50CB-31C0-422B-A551-BF9134D9F90A}">
      <formula1>$K$11:$K$18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B3F103-F08E-41A3-9521-0B1B230B0761}">
          <x14:formula1>
            <xm:f>Resumo!$B$6:$B$17</xm:f>
          </x14:formula1>
          <xm:sqref>C2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CB40-0F74-42C3-915F-CB6110E678BA}">
  <sheetPr>
    <tabColor theme="4"/>
  </sheetPr>
  <dimension ref="B1:K110"/>
  <sheetViews>
    <sheetView showGridLines="0" zoomScaleNormal="100" workbookViewId="0">
      <selection activeCell="K22" sqref="K22:M23"/>
    </sheetView>
  </sheetViews>
  <sheetFormatPr defaultColWidth="8.7109375" defaultRowHeight="15" x14ac:dyDescent="0.25"/>
  <cols>
    <col min="1" max="1" width="2" customWidth="1"/>
    <col min="2" max="2" width="15.5703125" customWidth="1"/>
    <col min="3" max="3" width="15" bestFit="1" customWidth="1"/>
    <col min="4" max="4" width="30" customWidth="1"/>
    <col min="5" max="5" width="9" customWidth="1"/>
    <col min="6" max="6" width="24" customWidth="1"/>
    <col min="7" max="7" width="12" customWidth="1"/>
    <col min="8" max="8" width="2" customWidth="1"/>
    <col min="9" max="9" width="24" customWidth="1"/>
    <col min="10" max="10" width="13" customWidth="1"/>
    <col min="11" max="11" width="8" customWidth="1"/>
  </cols>
  <sheetData>
    <row r="1" spans="2:11" ht="24" customHeight="1" x14ac:dyDescent="0.25">
      <c r="B1" s="45" t="s">
        <v>51</v>
      </c>
      <c r="C1" s="45"/>
      <c r="D1" s="45"/>
      <c r="E1" s="45"/>
      <c r="F1" s="45"/>
      <c r="G1" s="45"/>
      <c r="H1" s="45"/>
      <c r="I1" s="45"/>
      <c r="J1" s="45"/>
      <c r="K1" s="45"/>
    </row>
    <row r="2" spans="2:11" x14ac:dyDescent="0.25">
      <c r="C2" s="7" t="s">
        <v>26</v>
      </c>
      <c r="D2" s="9" t="s">
        <v>12</v>
      </c>
      <c r="E2" s="8" t="s">
        <v>52</v>
      </c>
    </row>
    <row r="3" spans="2:11" x14ac:dyDescent="0.25">
      <c r="I3" s="5" t="s">
        <v>145</v>
      </c>
      <c r="J3" s="6">
        <f>SUMIFS(G:G,B:B,I3)</f>
        <v>0</v>
      </c>
    </row>
    <row r="4" spans="2:11" x14ac:dyDescent="0.25">
      <c r="C4" s="5" t="s">
        <v>53</v>
      </c>
      <c r="D4" s="6">
        <f>G110</f>
        <v>0</v>
      </c>
      <c r="I4" s="5" t="s">
        <v>146</v>
      </c>
      <c r="J4" s="6">
        <f>SUMIFS(G:G,B:B,I4)</f>
        <v>0</v>
      </c>
    </row>
    <row r="5" spans="2:11" x14ac:dyDescent="0.25">
      <c r="I5" s="5" t="s">
        <v>147</v>
      </c>
      <c r="J5" s="6">
        <f>SUMIFS(G:G,B:B,I5)</f>
        <v>0</v>
      </c>
    </row>
    <row r="6" spans="2:11" x14ac:dyDescent="0.25">
      <c r="I6" s="43" t="s">
        <v>148</v>
      </c>
      <c r="J6" s="6">
        <f>SUM(J3:J5)</f>
        <v>0</v>
      </c>
    </row>
    <row r="8" spans="2:11" ht="16.5" x14ac:dyDescent="0.25">
      <c r="B8" s="45" t="s">
        <v>54</v>
      </c>
      <c r="C8" s="45"/>
      <c r="D8" s="45"/>
      <c r="E8" s="45"/>
      <c r="F8" s="45"/>
      <c r="G8" s="45"/>
      <c r="I8" s="45" t="s">
        <v>55</v>
      </c>
      <c r="J8" s="45"/>
      <c r="K8" s="45"/>
    </row>
    <row r="9" spans="2:11" x14ac:dyDescent="0.25">
      <c r="B9" s="1" t="s">
        <v>144</v>
      </c>
      <c r="C9" s="1" t="s">
        <v>36</v>
      </c>
      <c r="D9" s="1" t="s">
        <v>34</v>
      </c>
      <c r="E9" s="1" t="s">
        <v>56</v>
      </c>
      <c r="F9" s="1" t="s">
        <v>37</v>
      </c>
      <c r="G9" s="1" t="s">
        <v>35</v>
      </c>
      <c r="I9" s="1" t="s">
        <v>37</v>
      </c>
      <c r="J9" s="1" t="s">
        <v>38</v>
      </c>
      <c r="K9" s="1" t="s">
        <v>39</v>
      </c>
    </row>
    <row r="10" spans="2:11" x14ac:dyDescent="0.25">
      <c r="B10" s="16"/>
      <c r="C10" s="16"/>
      <c r="D10" s="31"/>
      <c r="E10" s="32"/>
      <c r="F10" s="31"/>
      <c r="G10" s="33"/>
      <c r="I10" s="40" t="s">
        <v>42</v>
      </c>
      <c r="J10" s="41">
        <f t="shared" ref="J10:J20" si="0">SUMIF($F$10:$F$109,I10,$G$10:$G$109)</f>
        <v>0</v>
      </c>
      <c r="K10" s="42">
        <f t="shared" ref="K10:K20" si="1">IF($J$21=0,0,J10/$J$21)</f>
        <v>0</v>
      </c>
    </row>
    <row r="11" spans="2:11" x14ac:dyDescent="0.25">
      <c r="B11" s="16"/>
      <c r="C11" s="16"/>
      <c r="D11" s="31"/>
      <c r="E11" s="32"/>
      <c r="F11" s="31"/>
      <c r="G11" s="33"/>
      <c r="I11" s="40" t="s">
        <v>57</v>
      </c>
      <c r="J11" s="41">
        <f t="shared" si="0"/>
        <v>0</v>
      </c>
      <c r="K11" s="42">
        <f t="shared" si="1"/>
        <v>0</v>
      </c>
    </row>
    <row r="12" spans="2:11" x14ac:dyDescent="0.25">
      <c r="B12" s="16"/>
      <c r="C12" s="16"/>
      <c r="D12" s="31"/>
      <c r="E12" s="32"/>
      <c r="F12" s="31"/>
      <c r="G12" s="33"/>
      <c r="I12" s="40" t="s">
        <v>58</v>
      </c>
      <c r="J12" s="41">
        <f t="shared" si="0"/>
        <v>0</v>
      </c>
      <c r="K12" s="42">
        <f t="shared" si="1"/>
        <v>0</v>
      </c>
    </row>
    <row r="13" spans="2:11" x14ac:dyDescent="0.25">
      <c r="B13" s="16"/>
      <c r="C13" s="16"/>
      <c r="D13" s="31"/>
      <c r="E13" s="32"/>
      <c r="F13" s="31"/>
      <c r="G13" s="33"/>
      <c r="I13" s="40" t="s">
        <v>59</v>
      </c>
      <c r="J13" s="41">
        <f t="shared" si="0"/>
        <v>0</v>
      </c>
      <c r="K13" s="42">
        <f t="shared" si="1"/>
        <v>0</v>
      </c>
    </row>
    <row r="14" spans="2:11" x14ac:dyDescent="0.25">
      <c r="B14" s="29"/>
      <c r="C14" s="29"/>
      <c r="D14" s="34"/>
      <c r="E14" s="35"/>
      <c r="F14" s="34"/>
      <c r="G14" s="36"/>
      <c r="I14" s="40" t="s">
        <v>60</v>
      </c>
      <c r="J14" s="41">
        <f t="shared" si="0"/>
        <v>0</v>
      </c>
      <c r="K14" s="42">
        <f t="shared" si="1"/>
        <v>0</v>
      </c>
    </row>
    <row r="15" spans="2:11" x14ac:dyDescent="0.25">
      <c r="B15" s="30"/>
      <c r="C15" s="30"/>
      <c r="D15" s="37"/>
      <c r="E15" s="38"/>
      <c r="F15" s="37"/>
      <c r="G15" s="39"/>
      <c r="I15" s="40" t="s">
        <v>61</v>
      </c>
      <c r="J15" s="41">
        <f t="shared" si="0"/>
        <v>0</v>
      </c>
      <c r="K15" s="42">
        <f t="shared" si="1"/>
        <v>0</v>
      </c>
    </row>
    <row r="16" spans="2:11" x14ac:dyDescent="0.25">
      <c r="B16" s="30"/>
      <c r="C16" s="30"/>
      <c r="D16" s="37"/>
      <c r="E16" s="38"/>
      <c r="F16" s="37"/>
      <c r="G16" s="39"/>
      <c r="I16" s="40" t="s">
        <v>62</v>
      </c>
      <c r="J16" s="41">
        <f t="shared" si="0"/>
        <v>0</v>
      </c>
      <c r="K16" s="42">
        <f t="shared" si="1"/>
        <v>0</v>
      </c>
    </row>
    <row r="17" spans="2:11" x14ac:dyDescent="0.25">
      <c r="B17" s="30"/>
      <c r="C17" s="30"/>
      <c r="D17" s="37"/>
      <c r="E17" s="38"/>
      <c r="F17" s="37"/>
      <c r="G17" s="39"/>
      <c r="I17" s="40" t="s">
        <v>46</v>
      </c>
      <c r="J17" s="41">
        <f t="shared" si="0"/>
        <v>0</v>
      </c>
      <c r="K17" s="42">
        <f t="shared" si="1"/>
        <v>0</v>
      </c>
    </row>
    <row r="18" spans="2:11" x14ac:dyDescent="0.25">
      <c r="B18" s="30"/>
      <c r="C18" s="30"/>
      <c r="D18" s="37"/>
      <c r="E18" s="38"/>
      <c r="F18" s="37"/>
      <c r="G18" s="39"/>
      <c r="I18" s="40" t="s">
        <v>63</v>
      </c>
      <c r="J18" s="41">
        <f t="shared" si="0"/>
        <v>0</v>
      </c>
      <c r="K18" s="42">
        <f t="shared" si="1"/>
        <v>0</v>
      </c>
    </row>
    <row r="19" spans="2:11" x14ac:dyDescent="0.25">
      <c r="B19" s="30"/>
      <c r="C19" s="30"/>
      <c r="D19" s="37"/>
      <c r="E19" s="38"/>
      <c r="F19" s="37"/>
      <c r="G19" s="39"/>
      <c r="I19" s="40" t="s">
        <v>45</v>
      </c>
      <c r="J19" s="41">
        <f t="shared" si="0"/>
        <v>0</v>
      </c>
      <c r="K19" s="42">
        <f t="shared" si="1"/>
        <v>0</v>
      </c>
    </row>
    <row r="20" spans="2:11" x14ac:dyDescent="0.25">
      <c r="B20" s="30"/>
      <c r="C20" s="30"/>
      <c r="D20" s="37"/>
      <c r="E20" s="38"/>
      <c r="F20" s="37"/>
      <c r="G20" s="39"/>
      <c r="I20" s="40" t="s">
        <v>47</v>
      </c>
      <c r="J20" s="41">
        <f t="shared" si="0"/>
        <v>0</v>
      </c>
      <c r="K20" s="42">
        <f t="shared" si="1"/>
        <v>0</v>
      </c>
    </row>
    <row r="21" spans="2:11" x14ac:dyDescent="0.25">
      <c r="B21" s="30"/>
      <c r="C21" s="30"/>
      <c r="D21" s="37"/>
      <c r="E21" s="38"/>
      <c r="F21" s="37"/>
      <c r="G21" s="39"/>
      <c r="I21" s="5" t="s">
        <v>38</v>
      </c>
      <c r="J21" s="6">
        <f>SUM(J10:J20)</f>
        <v>0</v>
      </c>
      <c r="K21" s="14">
        <f>IF(J21=0,0,J21/J21)</f>
        <v>0</v>
      </c>
    </row>
    <row r="22" spans="2:11" x14ac:dyDescent="0.25">
      <c r="B22" s="30"/>
      <c r="C22" s="30"/>
      <c r="D22" s="37"/>
      <c r="E22" s="38"/>
      <c r="F22" s="37"/>
      <c r="G22" s="39"/>
    </row>
    <row r="23" spans="2:11" x14ac:dyDescent="0.25">
      <c r="B23" s="30"/>
      <c r="C23" s="30"/>
      <c r="D23" s="37"/>
      <c r="E23" s="38"/>
      <c r="F23" s="37"/>
      <c r="G23" s="39"/>
    </row>
    <row r="24" spans="2:11" x14ac:dyDescent="0.25">
      <c r="B24" s="30"/>
      <c r="C24" s="30"/>
      <c r="D24" s="37"/>
      <c r="E24" s="38"/>
      <c r="F24" s="37"/>
      <c r="G24" s="39"/>
    </row>
    <row r="25" spans="2:11" x14ac:dyDescent="0.25">
      <c r="B25" s="30"/>
      <c r="C25" s="30"/>
      <c r="D25" s="37"/>
      <c r="E25" s="38"/>
      <c r="F25" s="37"/>
      <c r="G25" s="39"/>
    </row>
    <row r="26" spans="2:11" x14ac:dyDescent="0.25">
      <c r="B26" s="30"/>
      <c r="C26" s="30"/>
      <c r="D26" s="37"/>
      <c r="E26" s="38"/>
      <c r="F26" s="37"/>
      <c r="G26" s="39"/>
    </row>
    <row r="27" spans="2:11" x14ac:dyDescent="0.25">
      <c r="B27" s="30"/>
      <c r="C27" s="30"/>
      <c r="D27" s="37"/>
      <c r="E27" s="38"/>
      <c r="F27" s="37"/>
      <c r="G27" s="39"/>
    </row>
    <row r="28" spans="2:11" x14ac:dyDescent="0.25">
      <c r="B28" s="30"/>
      <c r="C28" s="30"/>
      <c r="D28" s="37"/>
      <c r="E28" s="38"/>
      <c r="F28" s="37"/>
      <c r="G28" s="39"/>
    </row>
    <row r="29" spans="2:11" x14ac:dyDescent="0.25">
      <c r="B29" s="30"/>
      <c r="C29" s="30"/>
      <c r="D29" s="37"/>
      <c r="E29" s="38"/>
      <c r="F29" s="37"/>
      <c r="G29" s="39"/>
    </row>
    <row r="30" spans="2:11" x14ac:dyDescent="0.25">
      <c r="B30" s="30"/>
      <c r="C30" s="30"/>
      <c r="D30" s="37"/>
      <c r="E30" s="38"/>
      <c r="F30" s="37"/>
      <c r="G30" s="39"/>
    </row>
    <row r="31" spans="2:11" x14ac:dyDescent="0.25">
      <c r="B31" s="30"/>
      <c r="C31" s="30"/>
      <c r="D31" s="37"/>
      <c r="E31" s="38"/>
      <c r="F31" s="37"/>
      <c r="G31" s="39"/>
    </row>
    <row r="32" spans="2:11" x14ac:dyDescent="0.25">
      <c r="B32" s="30"/>
      <c r="C32" s="30"/>
      <c r="D32" s="37"/>
      <c r="E32" s="38"/>
      <c r="F32" s="37"/>
      <c r="G32" s="39"/>
    </row>
    <row r="33" spans="2:7" x14ac:dyDescent="0.25">
      <c r="B33" s="30"/>
      <c r="C33" s="30"/>
      <c r="D33" s="37"/>
      <c r="E33" s="38"/>
      <c r="F33" s="37"/>
      <c r="G33" s="39"/>
    </row>
    <row r="34" spans="2:7" x14ac:dyDescent="0.25">
      <c r="B34" s="30"/>
      <c r="C34" s="30"/>
      <c r="D34" s="37"/>
      <c r="E34" s="38"/>
      <c r="F34" s="37"/>
      <c r="G34" s="39"/>
    </row>
    <row r="35" spans="2:7" x14ac:dyDescent="0.25">
      <c r="B35" s="30"/>
      <c r="C35" s="30"/>
      <c r="D35" s="37"/>
      <c r="E35" s="38"/>
      <c r="F35" s="37"/>
      <c r="G35" s="39"/>
    </row>
    <row r="36" spans="2:7" x14ac:dyDescent="0.25">
      <c r="B36" s="30"/>
      <c r="C36" s="30"/>
      <c r="D36" s="37"/>
      <c r="E36" s="38"/>
      <c r="F36" s="37"/>
      <c r="G36" s="39"/>
    </row>
    <row r="37" spans="2:7" x14ac:dyDescent="0.25">
      <c r="B37" s="30"/>
      <c r="C37" s="30"/>
      <c r="D37" s="37"/>
      <c r="E37" s="38"/>
      <c r="F37" s="37"/>
      <c r="G37" s="39"/>
    </row>
    <row r="38" spans="2:7" x14ac:dyDescent="0.25">
      <c r="B38" s="30"/>
      <c r="C38" s="30"/>
      <c r="D38" s="37"/>
      <c r="E38" s="38"/>
      <c r="F38" s="37"/>
      <c r="G38" s="39"/>
    </row>
    <row r="39" spans="2:7" x14ac:dyDescent="0.25">
      <c r="B39" s="30"/>
      <c r="C39" s="30"/>
      <c r="D39" s="37"/>
      <c r="E39" s="38"/>
      <c r="F39" s="37"/>
      <c r="G39" s="39"/>
    </row>
    <row r="40" spans="2:7" x14ac:dyDescent="0.25">
      <c r="B40" s="30"/>
      <c r="C40" s="30"/>
      <c r="D40" s="37"/>
      <c r="E40" s="38"/>
      <c r="F40" s="37"/>
      <c r="G40" s="39"/>
    </row>
    <row r="41" spans="2:7" x14ac:dyDescent="0.25">
      <c r="B41" s="30"/>
      <c r="C41" s="30"/>
      <c r="D41" s="37"/>
      <c r="E41" s="38"/>
      <c r="F41" s="37"/>
      <c r="G41" s="39"/>
    </row>
    <row r="42" spans="2:7" x14ac:dyDescent="0.25">
      <c r="B42" s="30"/>
      <c r="C42" s="30"/>
      <c r="D42" s="37"/>
      <c r="E42" s="38"/>
      <c r="F42" s="37"/>
      <c r="G42" s="39"/>
    </row>
    <row r="43" spans="2:7" x14ac:dyDescent="0.25">
      <c r="B43" s="30"/>
      <c r="C43" s="30"/>
      <c r="D43" s="37"/>
      <c r="E43" s="38"/>
      <c r="F43" s="37"/>
      <c r="G43" s="39"/>
    </row>
    <row r="44" spans="2:7" x14ac:dyDescent="0.25">
      <c r="B44" s="30"/>
      <c r="C44" s="30"/>
      <c r="D44" s="37"/>
      <c r="E44" s="38"/>
      <c r="F44" s="37"/>
      <c r="G44" s="39"/>
    </row>
    <row r="45" spans="2:7" x14ac:dyDescent="0.25">
      <c r="B45" s="30"/>
      <c r="C45" s="30"/>
      <c r="D45" s="37"/>
      <c r="E45" s="38"/>
      <c r="F45" s="37"/>
      <c r="G45" s="39"/>
    </row>
    <row r="46" spans="2:7" x14ac:dyDescent="0.25">
      <c r="B46" s="30"/>
      <c r="C46" s="30"/>
      <c r="D46" s="37"/>
      <c r="E46" s="38"/>
      <c r="F46" s="37"/>
      <c r="G46" s="39"/>
    </row>
    <row r="47" spans="2:7" x14ac:dyDescent="0.25">
      <c r="B47" s="30"/>
      <c r="C47" s="30"/>
      <c r="D47" s="37"/>
      <c r="E47" s="38"/>
      <c r="F47" s="37"/>
      <c r="G47" s="39"/>
    </row>
    <row r="48" spans="2:7" x14ac:dyDescent="0.25">
      <c r="B48" s="30"/>
      <c r="C48" s="30"/>
      <c r="D48" s="37"/>
      <c r="E48" s="38"/>
      <c r="F48" s="37"/>
      <c r="G48" s="39"/>
    </row>
    <row r="49" spans="2:7" x14ac:dyDescent="0.25">
      <c r="B49" s="30"/>
      <c r="C49" s="30"/>
      <c r="D49" s="37"/>
      <c r="E49" s="38"/>
      <c r="F49" s="37"/>
      <c r="G49" s="39"/>
    </row>
    <row r="50" spans="2:7" x14ac:dyDescent="0.25">
      <c r="B50" s="30"/>
      <c r="C50" s="30"/>
      <c r="D50" s="37"/>
      <c r="E50" s="38"/>
      <c r="F50" s="37"/>
      <c r="G50" s="39"/>
    </row>
    <row r="51" spans="2:7" x14ac:dyDescent="0.25">
      <c r="B51" s="30"/>
      <c r="C51" s="30"/>
      <c r="D51" s="37"/>
      <c r="E51" s="38"/>
      <c r="F51" s="37"/>
      <c r="G51" s="39"/>
    </row>
    <row r="52" spans="2:7" x14ac:dyDescent="0.25">
      <c r="B52" s="30"/>
      <c r="C52" s="30"/>
      <c r="D52" s="37"/>
      <c r="E52" s="38"/>
      <c r="F52" s="37"/>
      <c r="G52" s="39"/>
    </row>
    <row r="53" spans="2:7" x14ac:dyDescent="0.25">
      <c r="B53" s="30"/>
      <c r="C53" s="30"/>
      <c r="D53" s="37"/>
      <c r="E53" s="38"/>
      <c r="F53" s="37"/>
      <c r="G53" s="39"/>
    </row>
    <row r="54" spans="2:7" x14ac:dyDescent="0.25">
      <c r="B54" s="30"/>
      <c r="C54" s="30"/>
      <c r="D54" s="37"/>
      <c r="E54" s="38"/>
      <c r="F54" s="37"/>
      <c r="G54" s="39"/>
    </row>
    <row r="55" spans="2:7" x14ac:dyDescent="0.25">
      <c r="B55" s="30"/>
      <c r="C55" s="30"/>
      <c r="D55" s="37"/>
      <c r="E55" s="38"/>
      <c r="F55" s="37"/>
      <c r="G55" s="39"/>
    </row>
    <row r="56" spans="2:7" x14ac:dyDescent="0.25">
      <c r="B56" s="30"/>
      <c r="C56" s="30"/>
      <c r="D56" s="37"/>
      <c r="E56" s="38"/>
      <c r="F56" s="37"/>
      <c r="G56" s="39"/>
    </row>
    <row r="57" spans="2:7" x14ac:dyDescent="0.25">
      <c r="B57" s="30"/>
      <c r="C57" s="30"/>
      <c r="D57" s="37"/>
      <c r="E57" s="38"/>
      <c r="F57" s="37"/>
      <c r="G57" s="39"/>
    </row>
    <row r="58" spans="2:7" x14ac:dyDescent="0.25">
      <c r="B58" s="30"/>
      <c r="C58" s="30"/>
      <c r="D58" s="37"/>
      <c r="E58" s="38"/>
      <c r="F58" s="37"/>
      <c r="G58" s="39"/>
    </row>
    <row r="59" spans="2:7" x14ac:dyDescent="0.25">
      <c r="B59" s="30"/>
      <c r="C59" s="30"/>
      <c r="D59" s="37"/>
      <c r="E59" s="38"/>
      <c r="F59" s="37"/>
      <c r="G59" s="39"/>
    </row>
    <row r="60" spans="2:7" x14ac:dyDescent="0.25">
      <c r="B60" s="30"/>
      <c r="C60" s="30"/>
      <c r="D60" s="37"/>
      <c r="E60" s="38"/>
      <c r="F60" s="37"/>
      <c r="G60" s="39"/>
    </row>
    <row r="61" spans="2:7" x14ac:dyDescent="0.25">
      <c r="B61" s="30"/>
      <c r="C61" s="30"/>
      <c r="D61" s="37"/>
      <c r="E61" s="38"/>
      <c r="F61" s="37"/>
      <c r="G61" s="39"/>
    </row>
    <row r="62" spans="2:7" x14ac:dyDescent="0.25">
      <c r="B62" s="30"/>
      <c r="C62" s="30"/>
      <c r="D62" s="37"/>
      <c r="E62" s="38"/>
      <c r="F62" s="37"/>
      <c r="G62" s="39"/>
    </row>
    <row r="63" spans="2:7" x14ac:dyDescent="0.25">
      <c r="B63" s="30"/>
      <c r="C63" s="30"/>
      <c r="D63" s="37"/>
      <c r="E63" s="38"/>
      <c r="F63" s="37"/>
      <c r="G63" s="39"/>
    </row>
    <row r="64" spans="2:7" x14ac:dyDescent="0.25">
      <c r="B64" s="30"/>
      <c r="C64" s="30"/>
      <c r="D64" s="37"/>
      <c r="E64" s="38"/>
      <c r="F64" s="37"/>
      <c r="G64" s="39"/>
    </row>
    <row r="65" spans="2:7" x14ac:dyDescent="0.25">
      <c r="B65" s="30"/>
      <c r="C65" s="30"/>
      <c r="D65" s="37"/>
      <c r="E65" s="38"/>
      <c r="F65" s="37"/>
      <c r="G65" s="39"/>
    </row>
    <row r="66" spans="2:7" x14ac:dyDescent="0.25">
      <c r="B66" s="30"/>
      <c r="C66" s="30"/>
      <c r="D66" s="37"/>
      <c r="E66" s="38"/>
      <c r="F66" s="37"/>
      <c r="G66" s="39"/>
    </row>
    <row r="67" spans="2:7" x14ac:dyDescent="0.25">
      <c r="B67" s="30"/>
      <c r="C67" s="30"/>
      <c r="D67" s="37"/>
      <c r="E67" s="38"/>
      <c r="F67" s="37"/>
      <c r="G67" s="39"/>
    </row>
    <row r="68" spans="2:7" x14ac:dyDescent="0.25">
      <c r="B68" s="30"/>
      <c r="C68" s="30"/>
      <c r="D68" s="37"/>
      <c r="E68" s="38"/>
      <c r="F68" s="37"/>
      <c r="G68" s="39"/>
    </row>
    <row r="69" spans="2:7" x14ac:dyDescent="0.25">
      <c r="B69" s="30"/>
      <c r="C69" s="30"/>
      <c r="D69" s="37"/>
      <c r="E69" s="38"/>
      <c r="F69" s="37"/>
      <c r="G69" s="39"/>
    </row>
    <row r="70" spans="2:7" x14ac:dyDescent="0.25">
      <c r="B70" s="30"/>
      <c r="C70" s="30"/>
      <c r="D70" s="37"/>
      <c r="E70" s="38"/>
      <c r="F70" s="37"/>
      <c r="G70" s="39"/>
    </row>
    <row r="71" spans="2:7" x14ac:dyDescent="0.25">
      <c r="B71" s="30"/>
      <c r="C71" s="30"/>
      <c r="D71" s="37"/>
      <c r="E71" s="38"/>
      <c r="F71" s="37"/>
      <c r="G71" s="39"/>
    </row>
    <row r="72" spans="2:7" x14ac:dyDescent="0.25">
      <c r="B72" s="30"/>
      <c r="C72" s="30"/>
      <c r="D72" s="37"/>
      <c r="E72" s="38"/>
      <c r="F72" s="37"/>
      <c r="G72" s="39"/>
    </row>
    <row r="73" spans="2:7" x14ac:dyDescent="0.25">
      <c r="B73" s="30"/>
      <c r="C73" s="30"/>
      <c r="D73" s="37"/>
      <c r="E73" s="38"/>
      <c r="F73" s="37"/>
      <c r="G73" s="39"/>
    </row>
    <row r="74" spans="2:7" x14ac:dyDescent="0.25">
      <c r="B74" s="30"/>
      <c r="C74" s="30"/>
      <c r="D74" s="37"/>
      <c r="E74" s="38"/>
      <c r="F74" s="37"/>
      <c r="G74" s="39"/>
    </row>
    <row r="75" spans="2:7" x14ac:dyDescent="0.25">
      <c r="B75" s="30"/>
      <c r="C75" s="30"/>
      <c r="D75" s="37"/>
      <c r="E75" s="38"/>
      <c r="F75" s="37"/>
      <c r="G75" s="39"/>
    </row>
    <row r="76" spans="2:7" x14ac:dyDescent="0.25">
      <c r="B76" s="30"/>
      <c r="C76" s="30"/>
      <c r="D76" s="37"/>
      <c r="E76" s="38"/>
      <c r="F76" s="37"/>
      <c r="G76" s="39"/>
    </row>
    <row r="77" spans="2:7" x14ac:dyDescent="0.25">
      <c r="B77" s="30"/>
      <c r="C77" s="30"/>
      <c r="D77" s="37"/>
      <c r="E77" s="38"/>
      <c r="F77" s="37"/>
      <c r="G77" s="39"/>
    </row>
    <row r="78" spans="2:7" x14ac:dyDescent="0.25">
      <c r="B78" s="30"/>
      <c r="C78" s="30"/>
      <c r="D78" s="37"/>
      <c r="E78" s="38"/>
      <c r="F78" s="37"/>
      <c r="G78" s="39"/>
    </row>
    <row r="79" spans="2:7" x14ac:dyDescent="0.25">
      <c r="B79" s="30"/>
      <c r="C79" s="30"/>
      <c r="D79" s="37"/>
      <c r="E79" s="38"/>
      <c r="F79" s="37"/>
      <c r="G79" s="39"/>
    </row>
    <row r="80" spans="2:7" x14ac:dyDescent="0.25">
      <c r="B80" s="30"/>
      <c r="C80" s="30"/>
      <c r="D80" s="37"/>
      <c r="E80" s="38"/>
      <c r="F80" s="37"/>
      <c r="G80" s="39"/>
    </row>
    <row r="81" spans="2:7" x14ac:dyDescent="0.25">
      <c r="B81" s="30"/>
      <c r="C81" s="30"/>
      <c r="D81" s="37"/>
      <c r="E81" s="38"/>
      <c r="F81" s="37"/>
      <c r="G81" s="39"/>
    </row>
    <row r="82" spans="2:7" x14ac:dyDescent="0.25">
      <c r="B82" s="30"/>
      <c r="C82" s="30"/>
      <c r="D82" s="37"/>
      <c r="E82" s="38"/>
      <c r="F82" s="37"/>
      <c r="G82" s="39"/>
    </row>
    <row r="83" spans="2:7" x14ac:dyDescent="0.25">
      <c r="B83" s="30"/>
      <c r="C83" s="30"/>
      <c r="D83" s="37"/>
      <c r="E83" s="38"/>
      <c r="F83" s="37"/>
      <c r="G83" s="39"/>
    </row>
    <row r="84" spans="2:7" x14ac:dyDescent="0.25">
      <c r="B84" s="30"/>
      <c r="C84" s="30"/>
      <c r="D84" s="37"/>
      <c r="E84" s="38"/>
      <c r="F84" s="37"/>
      <c r="G84" s="39"/>
    </row>
    <row r="85" spans="2:7" x14ac:dyDescent="0.25">
      <c r="B85" s="30"/>
      <c r="C85" s="30"/>
      <c r="D85" s="37"/>
      <c r="E85" s="38"/>
      <c r="F85" s="37"/>
      <c r="G85" s="39"/>
    </row>
    <row r="86" spans="2:7" x14ac:dyDescent="0.25">
      <c r="B86" s="30"/>
      <c r="C86" s="30"/>
      <c r="D86" s="37"/>
      <c r="E86" s="38"/>
      <c r="F86" s="37"/>
      <c r="G86" s="39"/>
    </row>
    <row r="87" spans="2:7" x14ac:dyDescent="0.25">
      <c r="B87" s="30"/>
      <c r="C87" s="30"/>
      <c r="D87" s="37"/>
      <c r="E87" s="38"/>
      <c r="F87" s="37"/>
      <c r="G87" s="39"/>
    </row>
    <row r="88" spans="2:7" x14ac:dyDescent="0.25">
      <c r="B88" s="30"/>
      <c r="C88" s="30"/>
      <c r="D88" s="37"/>
      <c r="E88" s="38"/>
      <c r="F88" s="37"/>
      <c r="G88" s="39"/>
    </row>
    <row r="89" spans="2:7" x14ac:dyDescent="0.25">
      <c r="B89" s="30"/>
      <c r="C89" s="30"/>
      <c r="D89" s="37"/>
      <c r="E89" s="38"/>
      <c r="F89" s="37"/>
      <c r="G89" s="39"/>
    </row>
    <row r="90" spans="2:7" x14ac:dyDescent="0.25">
      <c r="B90" s="30"/>
      <c r="C90" s="30"/>
      <c r="D90" s="37"/>
      <c r="E90" s="38"/>
      <c r="F90" s="37"/>
      <c r="G90" s="39"/>
    </row>
    <row r="91" spans="2:7" x14ac:dyDescent="0.25">
      <c r="B91" s="30"/>
      <c r="C91" s="30"/>
      <c r="D91" s="37"/>
      <c r="E91" s="38"/>
      <c r="F91" s="37"/>
      <c r="G91" s="39"/>
    </row>
    <row r="92" spans="2:7" x14ac:dyDescent="0.25">
      <c r="B92" s="30"/>
      <c r="C92" s="30"/>
      <c r="D92" s="37"/>
      <c r="E92" s="38"/>
      <c r="F92" s="37"/>
      <c r="G92" s="39"/>
    </row>
    <row r="93" spans="2:7" x14ac:dyDescent="0.25">
      <c r="B93" s="30"/>
      <c r="C93" s="25"/>
      <c r="D93" s="26"/>
      <c r="E93" s="27"/>
      <c r="F93" s="26"/>
      <c r="G93" s="28"/>
    </row>
    <row r="94" spans="2:7" x14ac:dyDescent="0.25">
      <c r="B94" s="30"/>
      <c r="C94" s="12"/>
      <c r="D94" s="10"/>
      <c r="E94" s="15"/>
      <c r="F94" s="10"/>
      <c r="G94" s="11"/>
    </row>
    <row r="95" spans="2:7" x14ac:dyDescent="0.25">
      <c r="B95" s="30"/>
      <c r="C95" s="12"/>
      <c r="D95" s="10"/>
      <c r="E95" s="15"/>
      <c r="F95" s="10"/>
      <c r="G95" s="11"/>
    </row>
    <row r="96" spans="2:7" x14ac:dyDescent="0.25">
      <c r="B96" s="30"/>
      <c r="C96" s="12"/>
      <c r="D96" s="10"/>
      <c r="E96" s="15"/>
      <c r="F96" s="10"/>
      <c r="G96" s="11"/>
    </row>
    <row r="97" spans="2:7" x14ac:dyDescent="0.25">
      <c r="B97" s="30"/>
      <c r="C97" s="12"/>
      <c r="D97" s="10"/>
      <c r="E97" s="15"/>
      <c r="F97" s="10"/>
      <c r="G97" s="11"/>
    </row>
    <row r="98" spans="2:7" x14ac:dyDescent="0.25">
      <c r="B98" s="30"/>
      <c r="C98" s="12"/>
      <c r="D98" s="10"/>
      <c r="E98" s="15"/>
      <c r="F98" s="10"/>
      <c r="G98" s="11"/>
    </row>
    <row r="99" spans="2:7" x14ac:dyDescent="0.25">
      <c r="B99" s="30"/>
      <c r="C99" s="12"/>
      <c r="D99" s="10"/>
      <c r="E99" s="15"/>
      <c r="F99" s="10"/>
      <c r="G99" s="11"/>
    </row>
    <row r="100" spans="2:7" x14ac:dyDescent="0.25">
      <c r="B100" s="30"/>
      <c r="C100" s="12"/>
      <c r="D100" s="10"/>
      <c r="E100" s="15"/>
      <c r="F100" s="10"/>
      <c r="G100" s="11"/>
    </row>
    <row r="101" spans="2:7" x14ac:dyDescent="0.25">
      <c r="B101" s="30"/>
      <c r="C101" s="12"/>
      <c r="D101" s="10"/>
      <c r="E101" s="15"/>
      <c r="F101" s="10"/>
      <c r="G101" s="11"/>
    </row>
    <row r="102" spans="2:7" x14ac:dyDescent="0.25">
      <c r="B102" s="30"/>
      <c r="C102" s="12"/>
      <c r="D102" s="10"/>
      <c r="E102" s="15"/>
      <c r="F102" s="10"/>
      <c r="G102" s="11"/>
    </row>
    <row r="103" spans="2:7" x14ac:dyDescent="0.25">
      <c r="B103" s="30"/>
      <c r="C103" s="12"/>
      <c r="D103" s="10"/>
      <c r="E103" s="15"/>
      <c r="F103" s="10"/>
      <c r="G103" s="11"/>
    </row>
    <row r="104" spans="2:7" x14ac:dyDescent="0.25">
      <c r="B104" s="30"/>
      <c r="C104" s="12"/>
      <c r="D104" s="10"/>
      <c r="E104" s="15"/>
      <c r="F104" s="10"/>
      <c r="G104" s="11"/>
    </row>
    <row r="105" spans="2:7" x14ac:dyDescent="0.25">
      <c r="B105" s="30"/>
      <c r="C105" s="12"/>
      <c r="D105" s="10"/>
      <c r="E105" s="15"/>
      <c r="F105" s="10"/>
      <c r="G105" s="11"/>
    </row>
    <row r="106" spans="2:7" x14ac:dyDescent="0.25">
      <c r="B106" s="30"/>
      <c r="C106" s="12"/>
      <c r="D106" s="10"/>
      <c r="E106" s="15"/>
      <c r="F106" s="10"/>
      <c r="G106" s="11"/>
    </row>
    <row r="107" spans="2:7" x14ac:dyDescent="0.25">
      <c r="B107" s="30"/>
      <c r="C107" s="12"/>
      <c r="D107" s="10"/>
      <c r="E107" s="15"/>
      <c r="F107" s="10"/>
      <c r="G107" s="11"/>
    </row>
    <row r="108" spans="2:7" x14ac:dyDescent="0.25">
      <c r="B108" s="30"/>
      <c r="C108" s="12"/>
      <c r="D108" s="10"/>
      <c r="E108" s="15"/>
      <c r="F108" s="10"/>
      <c r="G108" s="11"/>
    </row>
    <row r="109" spans="2:7" x14ac:dyDescent="0.25">
      <c r="B109" s="30"/>
      <c r="C109" s="12"/>
      <c r="D109" s="10"/>
      <c r="E109" s="15"/>
      <c r="F109" s="10"/>
      <c r="G109" s="11"/>
    </row>
    <row r="110" spans="2:7" x14ac:dyDescent="0.25">
      <c r="B110" s="5" t="s">
        <v>38</v>
      </c>
      <c r="C110" s="5" t="s">
        <v>38</v>
      </c>
      <c r="D110" s="5"/>
      <c r="E110" s="5"/>
      <c r="F110" s="5"/>
      <c r="G110" s="6">
        <f>SUM(G10:G109)</f>
        <v>0</v>
      </c>
    </row>
  </sheetData>
  <autoFilter ref="B9:G93" xr:uid="{00000000-0001-0000-0200-000000000000}"/>
  <mergeCells count="3">
    <mergeCell ref="B1:K1"/>
    <mergeCell ref="B8:G8"/>
    <mergeCell ref="I8:K8"/>
  </mergeCells>
  <dataValidations count="1">
    <dataValidation type="list" allowBlank="1" showInputMessage="1" showErrorMessage="1" sqref="F10:F109" xr:uid="{698F6111-0223-476F-8F2E-57251A487F46}">
      <formula1>$I$10:$I$20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337AAF8-B832-402A-9279-FDD22EB0240C}">
          <x14:formula1>
            <xm:f>Resumo!$B$6:$B$17</xm:f>
          </x14:formula1>
          <xm:sqref>D2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M61"/>
  <sheetViews>
    <sheetView showGridLines="0" zoomScaleNormal="100" workbookViewId="0">
      <selection activeCell="I19" sqref="I19"/>
    </sheetView>
  </sheetViews>
  <sheetFormatPr defaultColWidth="8.7109375" defaultRowHeight="15" x14ac:dyDescent="0.25"/>
  <cols>
    <col min="1" max="1" width="2" customWidth="1"/>
    <col min="2" max="2" width="22" customWidth="1"/>
    <col min="3" max="3" width="14" customWidth="1"/>
    <col min="4" max="4" width="4" customWidth="1"/>
    <col min="5" max="5" width="11" style="18" customWidth="1"/>
    <col min="6" max="6" width="26" customWidth="1"/>
    <col min="7" max="7" width="25.7109375" bestFit="1" customWidth="1"/>
    <col min="8" max="8" width="12" customWidth="1"/>
    <col min="9" max="9" width="12.7109375" customWidth="1"/>
    <col min="10" max="10" width="2" customWidth="1"/>
    <col min="11" max="11" width="26" customWidth="1"/>
    <col min="12" max="12" width="13" customWidth="1"/>
    <col min="13" max="13" width="9.7109375" customWidth="1"/>
  </cols>
  <sheetData>
    <row r="1" spans="1:13" ht="24" customHeight="1" x14ac:dyDescent="0.25">
      <c r="B1" s="45" t="s">
        <v>25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x14ac:dyDescent="0.25">
      <c r="B2" s="7" t="s">
        <v>26</v>
      </c>
      <c r="C2" s="9" t="s">
        <v>13</v>
      </c>
      <c r="D2" s="8"/>
    </row>
    <row r="4" spans="1:13" x14ac:dyDescent="0.25">
      <c r="B4" s="5" t="s">
        <v>28</v>
      </c>
      <c r="C4" s="6">
        <f>C21</f>
        <v>10950.24</v>
      </c>
      <c r="G4" s="5" t="s">
        <v>71</v>
      </c>
      <c r="H4" s="6">
        <f>SUMIF($I$11:$I$60,"Pago",$H$11:$H$60)</f>
        <v>4474.8940000000002</v>
      </c>
    </row>
    <row r="5" spans="1:13" x14ac:dyDescent="0.25">
      <c r="B5" s="5" t="s">
        <v>29</v>
      </c>
      <c r="C5" s="6">
        <f>L20</f>
        <v>9298.4739999999983</v>
      </c>
      <c r="G5" s="5" t="s">
        <v>72</v>
      </c>
      <c r="H5" s="6">
        <f>SUMIF($I$11:$I$60,"Não pago",$H$11:$H$60)</f>
        <v>0</v>
      </c>
    </row>
    <row r="6" spans="1:13" x14ac:dyDescent="0.25">
      <c r="B6" s="5" t="s">
        <v>30</v>
      </c>
      <c r="C6" s="6">
        <f>C4-C5</f>
        <v>1651.7660000000014</v>
      </c>
    </row>
    <row r="8" spans="1:13" x14ac:dyDescent="0.25">
      <c r="A8" s="18"/>
      <c r="B8" s="18"/>
      <c r="C8" s="18"/>
      <c r="D8" s="18"/>
    </row>
    <row r="9" spans="1:13" ht="16.5" x14ac:dyDescent="0.25">
      <c r="B9" s="45" t="s">
        <v>31</v>
      </c>
      <c r="C9" s="45"/>
      <c r="E9" s="45" t="s">
        <v>32</v>
      </c>
      <c r="F9" s="45"/>
      <c r="G9" s="45"/>
      <c r="H9" s="45"/>
      <c r="I9" s="45"/>
      <c r="K9" s="45" t="s">
        <v>33</v>
      </c>
      <c r="L9" s="45"/>
      <c r="M9" s="45"/>
    </row>
    <row r="10" spans="1:13" x14ac:dyDescent="0.25">
      <c r="B10" s="1" t="s">
        <v>34</v>
      </c>
      <c r="C10" s="1" t="s">
        <v>35</v>
      </c>
      <c r="E10" s="17" t="s">
        <v>36</v>
      </c>
      <c r="F10" s="1" t="s">
        <v>34</v>
      </c>
      <c r="G10" s="1" t="s">
        <v>37</v>
      </c>
      <c r="H10" s="1" t="s">
        <v>35</v>
      </c>
      <c r="I10" s="1" t="s">
        <v>70</v>
      </c>
      <c r="K10" s="1" t="s">
        <v>37</v>
      </c>
      <c r="L10" s="1" t="s">
        <v>38</v>
      </c>
      <c r="M10" s="1" t="s">
        <v>39</v>
      </c>
    </row>
    <row r="11" spans="1:13" x14ac:dyDescent="0.25">
      <c r="B11" s="10" t="s">
        <v>64</v>
      </c>
      <c r="C11" s="11">
        <v>9650.24</v>
      </c>
      <c r="E11" s="16">
        <v>46209</v>
      </c>
      <c r="F11" s="10" t="s">
        <v>66</v>
      </c>
      <c r="G11" s="10" t="s">
        <v>47</v>
      </c>
      <c r="H11" s="20">
        <f>C11*10%</f>
        <v>965.024</v>
      </c>
      <c r="I11" s="23" t="s">
        <v>73</v>
      </c>
      <c r="K11" s="21" t="s">
        <v>40</v>
      </c>
      <c r="L11" s="4">
        <f t="shared" ref="L11:L18" si="0">SUMIF($G$11:$G$60,K11,$H$11:$H$60)</f>
        <v>1315.3</v>
      </c>
      <c r="M11" s="13">
        <f t="shared" ref="M11:M18" si="1">IF($L$20=0,0,L11/$L$20)</f>
        <v>0.14145331803906749</v>
      </c>
    </row>
    <row r="12" spans="1:13" x14ac:dyDescent="0.25">
      <c r="B12" s="10" t="s">
        <v>65</v>
      </c>
      <c r="C12" s="11">
        <v>1300</v>
      </c>
      <c r="E12" s="16">
        <v>46209</v>
      </c>
      <c r="F12" s="10" t="s">
        <v>67</v>
      </c>
      <c r="G12" s="10" t="s">
        <v>40</v>
      </c>
      <c r="H12" s="20">
        <v>1276.48</v>
      </c>
      <c r="I12" s="23" t="s">
        <v>73</v>
      </c>
      <c r="K12" s="21" t="s">
        <v>41</v>
      </c>
      <c r="L12" s="4">
        <f t="shared" si="0"/>
        <v>690.78</v>
      </c>
      <c r="M12" s="13">
        <f t="shared" si="1"/>
        <v>7.4289609241258311E-2</v>
      </c>
    </row>
    <row r="13" spans="1:13" x14ac:dyDescent="0.25">
      <c r="B13" s="10"/>
      <c r="C13" s="11"/>
      <c r="E13" s="16">
        <f>E12</f>
        <v>46209</v>
      </c>
      <c r="F13" s="10" t="s">
        <v>68</v>
      </c>
      <c r="G13" s="10" t="s">
        <v>40</v>
      </c>
      <c r="H13" s="20">
        <v>38.82</v>
      </c>
      <c r="I13" s="23" t="s">
        <v>73</v>
      </c>
      <c r="K13" s="21" t="s">
        <v>42</v>
      </c>
      <c r="L13" s="4">
        <f t="shared" si="0"/>
        <v>0</v>
      </c>
      <c r="M13" s="13">
        <f t="shared" si="1"/>
        <v>0</v>
      </c>
    </row>
    <row r="14" spans="1:13" x14ac:dyDescent="0.25">
      <c r="B14" s="10"/>
      <c r="C14" s="11"/>
      <c r="E14" s="16">
        <f>E13</f>
        <v>46209</v>
      </c>
      <c r="F14" s="10" t="s">
        <v>69</v>
      </c>
      <c r="G14" s="10" t="s">
        <v>44</v>
      </c>
      <c r="H14" s="20">
        <v>41</v>
      </c>
      <c r="I14" s="23" t="s">
        <v>73</v>
      </c>
      <c r="K14" s="21" t="s">
        <v>43</v>
      </c>
      <c r="L14" s="4">
        <f t="shared" si="0"/>
        <v>0</v>
      </c>
      <c r="M14" s="13">
        <f t="shared" si="1"/>
        <v>0</v>
      </c>
    </row>
    <row r="15" spans="1:13" x14ac:dyDescent="0.25">
      <c r="B15" s="10"/>
      <c r="C15" s="11"/>
      <c r="E15" s="16">
        <v>46210</v>
      </c>
      <c r="F15" s="10" t="s">
        <v>149</v>
      </c>
      <c r="G15" s="10" t="s">
        <v>41</v>
      </c>
      <c r="H15" s="20">
        <v>690.78</v>
      </c>
      <c r="I15" s="23" t="s">
        <v>73</v>
      </c>
      <c r="K15" s="21" t="s">
        <v>44</v>
      </c>
      <c r="L15" s="4">
        <f t="shared" si="0"/>
        <v>794.53</v>
      </c>
      <c r="M15" s="13">
        <f t="shared" si="1"/>
        <v>8.5447354049707519E-2</v>
      </c>
    </row>
    <row r="16" spans="1:13" x14ac:dyDescent="0.25">
      <c r="B16" s="10"/>
      <c r="C16" s="11"/>
      <c r="E16" s="16">
        <v>46213</v>
      </c>
      <c r="F16" s="10" t="s">
        <v>150</v>
      </c>
      <c r="G16" s="10" t="s">
        <v>46</v>
      </c>
      <c r="H16" s="20">
        <v>257.25</v>
      </c>
      <c r="I16" s="23" t="s">
        <v>73</v>
      </c>
      <c r="K16" s="21" t="s">
        <v>45</v>
      </c>
      <c r="L16" s="4">
        <f t="shared" si="0"/>
        <v>0</v>
      </c>
      <c r="M16" s="13">
        <f t="shared" si="1"/>
        <v>0</v>
      </c>
    </row>
    <row r="17" spans="2:13" x14ac:dyDescent="0.25">
      <c r="B17" s="10"/>
      <c r="C17" s="11"/>
      <c r="E17" s="16">
        <v>46223</v>
      </c>
      <c r="F17" s="10" t="s">
        <v>152</v>
      </c>
      <c r="G17" s="10" t="s">
        <v>44</v>
      </c>
      <c r="H17" s="20">
        <v>8</v>
      </c>
      <c r="I17" s="23" t="s">
        <v>73</v>
      </c>
      <c r="K17" s="21" t="s">
        <v>46</v>
      </c>
      <c r="L17" s="4">
        <f t="shared" si="0"/>
        <v>377.25</v>
      </c>
      <c r="M17" s="13">
        <f t="shared" si="1"/>
        <v>4.0571173291445467E-2</v>
      </c>
    </row>
    <row r="18" spans="2:13" x14ac:dyDescent="0.25">
      <c r="B18" s="10"/>
      <c r="C18" s="11"/>
      <c r="E18" s="16">
        <v>46223</v>
      </c>
      <c r="F18" s="10" t="s">
        <v>74</v>
      </c>
      <c r="G18" s="10" t="s">
        <v>44</v>
      </c>
      <c r="H18" s="20">
        <v>745.53</v>
      </c>
      <c r="I18" s="23" t="s">
        <v>73</v>
      </c>
      <c r="K18" s="21" t="s">
        <v>47</v>
      </c>
      <c r="L18" s="4">
        <f t="shared" si="0"/>
        <v>1297.0340000000001</v>
      </c>
      <c r="M18" s="13">
        <f t="shared" si="1"/>
        <v>0.13948890968561081</v>
      </c>
    </row>
    <row r="19" spans="2:13" x14ac:dyDescent="0.25">
      <c r="B19" s="10"/>
      <c r="C19" s="11"/>
      <c r="E19" s="16">
        <v>46223</v>
      </c>
      <c r="F19" s="10" t="s">
        <v>76</v>
      </c>
      <c r="G19" s="10" t="s">
        <v>47</v>
      </c>
      <c r="H19" s="20">
        <v>332.01</v>
      </c>
      <c r="I19" s="23" t="s">
        <v>73</v>
      </c>
      <c r="K19" s="21" t="s">
        <v>48</v>
      </c>
      <c r="L19" s="3">
        <f>'Julho-Cartão'!D4</f>
        <v>4823.579999999999</v>
      </c>
      <c r="M19" s="13">
        <f>IF($L$20=0,0,L19/$L$20)</f>
        <v>0.51874963569291044</v>
      </c>
    </row>
    <row r="20" spans="2:13" x14ac:dyDescent="0.25">
      <c r="B20" s="10"/>
      <c r="C20" s="11"/>
      <c r="E20" s="16">
        <v>46218</v>
      </c>
      <c r="F20" s="10" t="s">
        <v>151</v>
      </c>
      <c r="G20" s="10" t="s">
        <v>46</v>
      </c>
      <c r="H20" s="20">
        <v>120</v>
      </c>
      <c r="I20" s="23" t="s">
        <v>73</v>
      </c>
      <c r="K20" s="22" t="s">
        <v>38</v>
      </c>
      <c r="L20" s="6">
        <f>SUM(L11:L19)</f>
        <v>9298.4739999999983</v>
      </c>
      <c r="M20" s="14">
        <f>IF(L20=0,0,L20/L20)</f>
        <v>1</v>
      </c>
    </row>
    <row r="21" spans="2:13" x14ac:dyDescent="0.25">
      <c r="B21" s="5" t="s">
        <v>38</v>
      </c>
      <c r="C21" s="6">
        <f>SUM(C11:C20)</f>
        <v>10950.24</v>
      </c>
      <c r="E21" s="16"/>
      <c r="F21" s="10"/>
      <c r="G21" s="10"/>
      <c r="H21" s="20"/>
      <c r="I21" s="23"/>
    </row>
    <row r="22" spans="2:13" x14ac:dyDescent="0.25">
      <c r="E22" s="16"/>
      <c r="F22" s="10"/>
      <c r="G22" s="10"/>
      <c r="H22" s="20"/>
      <c r="I22" s="23"/>
      <c r="K22" s="44" t="s">
        <v>49</v>
      </c>
      <c r="L22" s="44"/>
      <c r="M22" s="44"/>
    </row>
    <row r="23" spans="2:13" x14ac:dyDescent="0.25">
      <c r="E23" s="16"/>
      <c r="F23" s="10"/>
      <c r="G23" s="10"/>
      <c r="H23" s="20"/>
      <c r="I23" s="23"/>
      <c r="K23" s="44"/>
      <c r="L23" s="44"/>
      <c r="M23" s="44"/>
    </row>
    <row r="24" spans="2:13" x14ac:dyDescent="0.25">
      <c r="E24" s="16"/>
      <c r="F24" s="10"/>
      <c r="G24" s="10"/>
      <c r="H24" s="20"/>
      <c r="I24" s="23"/>
    </row>
    <row r="25" spans="2:13" x14ac:dyDescent="0.25">
      <c r="E25" s="16"/>
      <c r="F25" s="10"/>
      <c r="G25" s="10"/>
      <c r="H25" s="20"/>
      <c r="I25" s="23"/>
    </row>
    <row r="26" spans="2:13" x14ac:dyDescent="0.25">
      <c r="E26" s="16"/>
      <c r="F26" s="10"/>
      <c r="G26" s="10"/>
      <c r="H26" s="20"/>
      <c r="I26" s="23"/>
    </row>
    <row r="27" spans="2:13" x14ac:dyDescent="0.25">
      <c r="E27" s="16"/>
      <c r="F27" s="10"/>
      <c r="G27" s="10"/>
      <c r="H27" s="20"/>
      <c r="I27" s="23"/>
    </row>
    <row r="28" spans="2:13" x14ac:dyDescent="0.25">
      <c r="E28" s="16"/>
      <c r="F28" s="10"/>
      <c r="G28" s="10"/>
      <c r="H28" s="20"/>
      <c r="I28" s="23"/>
    </row>
    <row r="29" spans="2:13" x14ac:dyDescent="0.25">
      <c r="E29" s="16"/>
      <c r="F29" s="10"/>
      <c r="G29" s="10"/>
      <c r="H29" s="20"/>
      <c r="I29" s="23"/>
    </row>
    <row r="30" spans="2:13" x14ac:dyDescent="0.25">
      <c r="E30" s="16"/>
      <c r="F30" s="10"/>
      <c r="G30" s="10"/>
      <c r="H30" s="20"/>
      <c r="I30" s="23"/>
    </row>
    <row r="31" spans="2:13" x14ac:dyDescent="0.25">
      <c r="E31" s="16"/>
      <c r="F31" s="10"/>
      <c r="G31" s="10"/>
      <c r="H31" s="20"/>
      <c r="I31" s="23"/>
    </row>
    <row r="32" spans="2:13" x14ac:dyDescent="0.25">
      <c r="E32" s="16"/>
      <c r="F32" s="10"/>
      <c r="G32" s="10"/>
      <c r="H32" s="20"/>
      <c r="I32" s="23"/>
    </row>
    <row r="33" spans="5:9" x14ac:dyDescent="0.25">
      <c r="E33" s="16"/>
      <c r="F33" s="10"/>
      <c r="G33" s="10"/>
      <c r="H33" s="20"/>
      <c r="I33" s="23"/>
    </row>
    <row r="34" spans="5:9" x14ac:dyDescent="0.25">
      <c r="E34" s="16"/>
      <c r="F34" s="10"/>
      <c r="G34" s="10"/>
      <c r="H34" s="20"/>
      <c r="I34" s="23"/>
    </row>
    <row r="35" spans="5:9" x14ac:dyDescent="0.25">
      <c r="E35" s="16"/>
      <c r="F35" s="10"/>
      <c r="G35" s="10"/>
      <c r="H35" s="20"/>
      <c r="I35" s="23"/>
    </row>
    <row r="36" spans="5:9" x14ac:dyDescent="0.25">
      <c r="E36" s="16"/>
      <c r="F36" s="10"/>
      <c r="G36" s="10"/>
      <c r="H36" s="20"/>
      <c r="I36" s="23"/>
    </row>
    <row r="37" spans="5:9" x14ac:dyDescent="0.25">
      <c r="E37" s="16"/>
      <c r="F37" s="10"/>
      <c r="G37" s="10"/>
      <c r="H37" s="20"/>
      <c r="I37" s="23"/>
    </row>
    <row r="38" spans="5:9" x14ac:dyDescent="0.25">
      <c r="E38" s="16"/>
      <c r="F38" s="10"/>
      <c r="G38" s="10"/>
      <c r="H38" s="20"/>
      <c r="I38" s="23"/>
    </row>
    <row r="39" spans="5:9" x14ac:dyDescent="0.25">
      <c r="E39" s="16"/>
      <c r="F39" s="10"/>
      <c r="G39" s="10"/>
      <c r="H39" s="20"/>
      <c r="I39" s="23"/>
    </row>
    <row r="40" spans="5:9" x14ac:dyDescent="0.25">
      <c r="E40" s="16"/>
      <c r="F40" s="10"/>
      <c r="G40" s="10"/>
      <c r="H40" s="20"/>
      <c r="I40" s="23"/>
    </row>
    <row r="41" spans="5:9" x14ac:dyDescent="0.25">
      <c r="E41" s="16"/>
      <c r="F41" s="10"/>
      <c r="G41" s="10"/>
      <c r="H41" s="20"/>
      <c r="I41" s="23"/>
    </row>
    <row r="42" spans="5:9" x14ac:dyDescent="0.25">
      <c r="E42" s="16"/>
      <c r="F42" s="10"/>
      <c r="G42" s="10"/>
      <c r="H42" s="20"/>
      <c r="I42" s="23"/>
    </row>
    <row r="43" spans="5:9" x14ac:dyDescent="0.25">
      <c r="E43" s="16"/>
      <c r="F43" s="10"/>
      <c r="G43" s="10"/>
      <c r="H43" s="20"/>
      <c r="I43" s="23"/>
    </row>
    <row r="44" spans="5:9" x14ac:dyDescent="0.25">
      <c r="E44" s="16"/>
      <c r="F44" s="10"/>
      <c r="G44" s="10"/>
      <c r="H44" s="20"/>
      <c r="I44" s="23"/>
    </row>
    <row r="45" spans="5:9" x14ac:dyDescent="0.25">
      <c r="E45" s="16"/>
      <c r="F45" s="10"/>
      <c r="G45" s="10"/>
      <c r="H45" s="20"/>
      <c r="I45" s="23"/>
    </row>
    <row r="46" spans="5:9" x14ac:dyDescent="0.25">
      <c r="E46" s="16"/>
      <c r="F46" s="10"/>
      <c r="G46" s="10"/>
      <c r="H46" s="20"/>
      <c r="I46" s="23"/>
    </row>
    <row r="47" spans="5:9" x14ac:dyDescent="0.25">
      <c r="E47" s="16"/>
      <c r="F47" s="10"/>
      <c r="G47" s="10"/>
      <c r="H47" s="20"/>
      <c r="I47" s="23"/>
    </row>
    <row r="48" spans="5:9" x14ac:dyDescent="0.25">
      <c r="E48" s="16"/>
      <c r="F48" s="10"/>
      <c r="G48" s="10"/>
      <c r="H48" s="20"/>
      <c r="I48" s="23"/>
    </row>
    <row r="49" spans="5:10" x14ac:dyDescent="0.25">
      <c r="E49" s="16"/>
      <c r="F49" s="10"/>
      <c r="G49" s="10"/>
      <c r="H49" s="20"/>
      <c r="I49" s="23"/>
    </row>
    <row r="50" spans="5:10" x14ac:dyDescent="0.25">
      <c r="E50" s="16"/>
      <c r="F50" s="10"/>
      <c r="G50" s="10"/>
      <c r="H50" s="20"/>
      <c r="I50" s="23"/>
    </row>
    <row r="51" spans="5:10" x14ac:dyDescent="0.25">
      <c r="E51" s="16"/>
      <c r="F51" s="10"/>
      <c r="G51" s="10"/>
      <c r="H51" s="20"/>
      <c r="I51" s="23"/>
    </row>
    <row r="52" spans="5:10" x14ac:dyDescent="0.25">
      <c r="E52" s="16"/>
      <c r="F52" s="10"/>
      <c r="G52" s="10"/>
      <c r="H52" s="20"/>
      <c r="I52" s="23"/>
      <c r="J52" s="24"/>
    </row>
    <row r="53" spans="5:10" x14ac:dyDescent="0.25">
      <c r="E53" s="16"/>
      <c r="F53" s="10"/>
      <c r="G53" s="10"/>
      <c r="H53" s="20"/>
      <c r="I53" s="23"/>
      <c r="J53" s="24"/>
    </row>
    <row r="54" spans="5:10" x14ac:dyDescent="0.25">
      <c r="E54" s="16"/>
      <c r="F54" s="10"/>
      <c r="G54" s="10"/>
      <c r="H54" s="20"/>
      <c r="I54" s="23"/>
      <c r="J54" s="24"/>
    </row>
    <row r="55" spans="5:10" x14ac:dyDescent="0.25">
      <c r="E55" s="16"/>
      <c r="F55" s="10"/>
      <c r="G55" s="10"/>
      <c r="H55" s="20"/>
      <c r="I55" s="23"/>
      <c r="J55" s="24"/>
    </row>
    <row r="56" spans="5:10" x14ac:dyDescent="0.25">
      <c r="E56" s="16"/>
      <c r="F56" s="10"/>
      <c r="G56" s="10"/>
      <c r="H56" s="20"/>
      <c r="I56" s="23"/>
      <c r="J56" s="24"/>
    </row>
    <row r="57" spans="5:10" x14ac:dyDescent="0.25">
      <c r="E57" s="16"/>
      <c r="F57" s="10"/>
      <c r="G57" s="10"/>
      <c r="H57" s="20"/>
      <c r="I57" s="23"/>
      <c r="J57" s="24"/>
    </row>
    <row r="58" spans="5:10" x14ac:dyDescent="0.25">
      <c r="E58" s="16"/>
      <c r="F58" s="10"/>
      <c r="G58" s="10"/>
      <c r="H58" s="20"/>
      <c r="I58" s="23"/>
      <c r="J58" s="24"/>
    </row>
    <row r="59" spans="5:10" x14ac:dyDescent="0.25">
      <c r="E59" s="16"/>
      <c r="F59" s="10"/>
      <c r="G59" s="10"/>
      <c r="H59" s="20"/>
      <c r="I59" s="23"/>
      <c r="J59" s="24"/>
    </row>
    <row r="60" spans="5:10" x14ac:dyDescent="0.25">
      <c r="E60" s="16"/>
      <c r="F60" s="10"/>
      <c r="G60" s="10"/>
      <c r="H60" s="20"/>
      <c r="I60" s="23"/>
      <c r="J60" s="24"/>
    </row>
    <row r="61" spans="5:10" x14ac:dyDescent="0.25">
      <c r="E61" s="19" t="s">
        <v>50</v>
      </c>
      <c r="F61" s="5"/>
      <c r="G61" s="5"/>
      <c r="H61" s="6">
        <f>SUM(H11:H60)</f>
        <v>4474.8940000000002</v>
      </c>
    </row>
  </sheetData>
  <mergeCells count="5">
    <mergeCell ref="K22:M23"/>
    <mergeCell ref="B1:M1"/>
    <mergeCell ref="B9:C9"/>
    <mergeCell ref="K9:M9"/>
    <mergeCell ref="E9:I9"/>
  </mergeCells>
  <conditionalFormatting sqref="I11:I51 I52:J60">
    <cfRule type="cellIs" dxfId="13" priority="1" operator="equal">
      <formula>"Pago"</formula>
    </cfRule>
    <cfRule type="cellIs" dxfId="12" priority="2" operator="equal">
      <formula>"Não pago"</formula>
    </cfRule>
  </conditionalFormatting>
  <dataValidations count="2">
    <dataValidation type="list" allowBlank="1" error="Escolha uma categoria da lista" sqref="G11:G60" xr:uid="{00000000-0002-0000-0100-000000000000}">
      <formula1>$K$11:$K$18</formula1>
      <formula2>0</formula2>
    </dataValidation>
    <dataValidation type="list" allowBlank="1" showInputMessage="1" showErrorMessage="1" sqref="J52:J60 I11:I60" xr:uid="{C27F008E-ECF0-44D0-8B93-7765F71C4E83}">
      <formula1>"Pago,Não pago"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A15F29-99B4-4C16-9B77-DD6539FDD04E}">
          <x14:formula1>
            <xm:f>Resumo!$B$6:$B$17</xm:f>
          </x14:formula1>
          <xm:sqref>C2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B1:K110"/>
  <sheetViews>
    <sheetView showGridLines="0" topLeftCell="A3" zoomScaleNormal="100" workbookViewId="0">
      <selection activeCell="I116" sqref="I116"/>
    </sheetView>
  </sheetViews>
  <sheetFormatPr defaultColWidth="8.7109375" defaultRowHeight="15" x14ac:dyDescent="0.25"/>
  <cols>
    <col min="1" max="1" width="2" customWidth="1"/>
    <col min="2" max="2" width="15.5703125" customWidth="1"/>
    <col min="3" max="3" width="15" bestFit="1" customWidth="1"/>
    <col min="4" max="4" width="30" customWidth="1"/>
    <col min="5" max="5" width="9" customWidth="1"/>
    <col min="6" max="6" width="24" customWidth="1"/>
    <col min="7" max="7" width="12" customWidth="1"/>
    <col min="8" max="8" width="2" customWidth="1"/>
    <col min="9" max="9" width="24" customWidth="1"/>
    <col min="10" max="10" width="13" customWidth="1"/>
    <col min="11" max="11" width="8" customWidth="1"/>
  </cols>
  <sheetData>
    <row r="1" spans="2:11" ht="24" customHeight="1" x14ac:dyDescent="0.25">
      <c r="B1" s="45" t="s">
        <v>51</v>
      </c>
      <c r="C1" s="45"/>
      <c r="D1" s="45"/>
      <c r="E1" s="45"/>
      <c r="F1" s="45"/>
      <c r="G1" s="45"/>
      <c r="H1" s="45"/>
      <c r="I1" s="45"/>
      <c r="J1" s="45"/>
      <c r="K1" s="45"/>
    </row>
    <row r="2" spans="2:11" x14ac:dyDescent="0.25">
      <c r="C2" s="7" t="s">
        <v>26</v>
      </c>
      <c r="D2" s="9" t="s">
        <v>13</v>
      </c>
      <c r="E2" s="8" t="s">
        <v>52</v>
      </c>
    </row>
    <row r="3" spans="2:11" x14ac:dyDescent="0.25">
      <c r="I3" s="5" t="s">
        <v>145</v>
      </c>
      <c r="J3" s="6">
        <f>SUMIFS(G:G,B:B,I3)</f>
        <v>807.48</v>
      </c>
    </row>
    <row r="4" spans="2:11" x14ac:dyDescent="0.25">
      <c r="C4" s="5" t="s">
        <v>53</v>
      </c>
      <c r="D4" s="6">
        <f>G110</f>
        <v>4823.579999999999</v>
      </c>
      <c r="I4" s="5" t="s">
        <v>146</v>
      </c>
      <c r="J4" s="6">
        <f>SUMIFS(G:G,B:B,I4)</f>
        <v>4016.1000000000004</v>
      </c>
    </row>
    <row r="5" spans="2:11" x14ac:dyDescent="0.25">
      <c r="I5" s="5" t="s">
        <v>147</v>
      </c>
      <c r="J5" s="6">
        <f>SUMIFS(G:G,B:B,I5)</f>
        <v>0</v>
      </c>
    </row>
    <row r="6" spans="2:11" x14ac:dyDescent="0.25">
      <c r="I6" s="43" t="s">
        <v>148</v>
      </c>
      <c r="J6" s="6">
        <f>SUM(J3:J5)</f>
        <v>4823.58</v>
      </c>
    </row>
    <row r="8" spans="2:11" ht="16.5" x14ac:dyDescent="0.25">
      <c r="B8" s="45" t="s">
        <v>54</v>
      </c>
      <c r="C8" s="45"/>
      <c r="D8" s="45"/>
      <c r="E8" s="45"/>
      <c r="F8" s="45"/>
      <c r="G8" s="45"/>
      <c r="I8" s="45" t="s">
        <v>55</v>
      </c>
      <c r="J8" s="45"/>
      <c r="K8" s="45"/>
    </row>
    <row r="9" spans="2:11" x14ac:dyDescent="0.25">
      <c r="B9" s="1" t="s">
        <v>144</v>
      </c>
      <c r="C9" s="1" t="s">
        <v>36</v>
      </c>
      <c r="D9" s="1" t="s">
        <v>34</v>
      </c>
      <c r="E9" s="1" t="s">
        <v>56</v>
      </c>
      <c r="F9" s="1" t="s">
        <v>37</v>
      </c>
      <c r="G9" s="1" t="s">
        <v>35</v>
      </c>
      <c r="I9" s="1" t="s">
        <v>37</v>
      </c>
      <c r="J9" s="1" t="s">
        <v>38</v>
      </c>
      <c r="K9" s="1" t="s">
        <v>39</v>
      </c>
    </row>
    <row r="10" spans="2:11" x14ac:dyDescent="0.25">
      <c r="B10" s="16" t="s">
        <v>145</v>
      </c>
      <c r="C10" s="16">
        <v>46178</v>
      </c>
      <c r="D10" s="31" t="s">
        <v>77</v>
      </c>
      <c r="E10" s="32" t="s">
        <v>82</v>
      </c>
      <c r="F10" s="31" t="s">
        <v>62</v>
      </c>
      <c r="G10" s="33">
        <v>64.989999999999995</v>
      </c>
      <c r="I10" s="40" t="s">
        <v>42</v>
      </c>
      <c r="J10" s="41">
        <f t="shared" ref="J10:J20" si="0">SUMIF($F$10:$F$109,I10,$G$10:$G$109)</f>
        <v>272.84000000000003</v>
      </c>
      <c r="K10" s="42">
        <f t="shared" ref="K10:K20" si="1">IF($J$21=0,0,J10/$J$21)</f>
        <v>5.6563797013836202E-2</v>
      </c>
    </row>
    <row r="11" spans="2:11" x14ac:dyDescent="0.25">
      <c r="B11" s="16" t="s">
        <v>145</v>
      </c>
      <c r="C11" s="16">
        <v>46178</v>
      </c>
      <c r="D11" s="31" t="s">
        <v>78</v>
      </c>
      <c r="E11" s="32" t="s">
        <v>83</v>
      </c>
      <c r="F11" s="31" t="s">
        <v>63</v>
      </c>
      <c r="G11" s="33">
        <v>104.06</v>
      </c>
      <c r="I11" s="40" t="s">
        <v>57</v>
      </c>
      <c r="J11" s="41">
        <f t="shared" si="0"/>
        <v>1709.5100000000002</v>
      </c>
      <c r="K11" s="42">
        <f t="shared" si="1"/>
        <v>0.35440689280575843</v>
      </c>
    </row>
    <row r="12" spans="2:11" x14ac:dyDescent="0.25">
      <c r="B12" s="16" t="s">
        <v>145</v>
      </c>
      <c r="C12" s="16">
        <v>46178</v>
      </c>
      <c r="D12" s="31" t="s">
        <v>79</v>
      </c>
      <c r="E12" s="32" t="s">
        <v>84</v>
      </c>
      <c r="F12" s="31" t="s">
        <v>60</v>
      </c>
      <c r="G12" s="33">
        <v>106.65</v>
      </c>
      <c r="I12" s="40" t="s">
        <v>58</v>
      </c>
      <c r="J12" s="41">
        <f t="shared" si="0"/>
        <v>277.63</v>
      </c>
      <c r="K12" s="42">
        <f t="shared" si="1"/>
        <v>5.7556835379531386E-2</v>
      </c>
    </row>
    <row r="13" spans="2:11" x14ac:dyDescent="0.25">
      <c r="B13" s="16" t="s">
        <v>145</v>
      </c>
      <c r="C13" s="16">
        <v>46178</v>
      </c>
      <c r="D13" s="31" t="s">
        <v>80</v>
      </c>
      <c r="E13" s="32" t="s">
        <v>83</v>
      </c>
      <c r="F13" s="31" t="s">
        <v>61</v>
      </c>
      <c r="G13" s="33">
        <v>57.78</v>
      </c>
      <c r="I13" s="40" t="s">
        <v>59</v>
      </c>
      <c r="J13" s="41">
        <f t="shared" si="0"/>
        <v>118.44999999999999</v>
      </c>
      <c r="K13" s="42">
        <f t="shared" si="1"/>
        <v>2.4556449773819444E-2</v>
      </c>
    </row>
    <row r="14" spans="2:11" x14ac:dyDescent="0.25">
      <c r="B14" s="29" t="s">
        <v>145</v>
      </c>
      <c r="C14" s="29">
        <v>46178</v>
      </c>
      <c r="D14" s="34" t="s">
        <v>81</v>
      </c>
      <c r="E14" s="35" t="s">
        <v>85</v>
      </c>
      <c r="F14" s="34" t="s">
        <v>60</v>
      </c>
      <c r="G14" s="36">
        <v>474</v>
      </c>
      <c r="I14" s="40" t="s">
        <v>60</v>
      </c>
      <c r="J14" s="41">
        <f t="shared" si="0"/>
        <v>807.94999999999993</v>
      </c>
      <c r="K14" s="42">
        <f t="shared" si="1"/>
        <v>0.1675000725602146</v>
      </c>
    </row>
    <row r="15" spans="2:11" x14ac:dyDescent="0.25">
      <c r="B15" s="30" t="s">
        <v>146</v>
      </c>
      <c r="C15" s="30">
        <v>46167</v>
      </c>
      <c r="D15" s="37" t="s">
        <v>86</v>
      </c>
      <c r="E15" s="38" t="s">
        <v>87</v>
      </c>
      <c r="F15" s="37" t="s">
        <v>57</v>
      </c>
      <c r="G15" s="39">
        <v>-49.9</v>
      </c>
      <c r="I15" s="40" t="s">
        <v>61</v>
      </c>
      <c r="J15" s="41">
        <f t="shared" si="0"/>
        <v>271.14999999999998</v>
      </c>
      <c r="K15" s="42">
        <f t="shared" si="1"/>
        <v>5.621343483470783E-2</v>
      </c>
    </row>
    <row r="16" spans="2:11" x14ac:dyDescent="0.25">
      <c r="B16" s="30" t="s">
        <v>146</v>
      </c>
      <c r="C16" s="30">
        <v>46181</v>
      </c>
      <c r="D16" s="37" t="s">
        <v>88</v>
      </c>
      <c r="E16" s="38" t="s">
        <v>87</v>
      </c>
      <c r="F16" s="37" t="s">
        <v>42</v>
      </c>
      <c r="G16" s="39">
        <v>31.47</v>
      </c>
      <c r="I16" s="40" t="s">
        <v>62</v>
      </c>
      <c r="J16" s="41">
        <f t="shared" si="0"/>
        <v>227.92</v>
      </c>
      <c r="K16" s="42">
        <f t="shared" si="1"/>
        <v>4.7251211755584027E-2</v>
      </c>
    </row>
    <row r="17" spans="2:11" x14ac:dyDescent="0.25">
      <c r="B17" s="30" t="s">
        <v>146</v>
      </c>
      <c r="C17" s="30">
        <v>46181</v>
      </c>
      <c r="D17" s="37" t="s">
        <v>89</v>
      </c>
      <c r="E17" s="38" t="s">
        <v>87</v>
      </c>
      <c r="F17" s="37" t="s">
        <v>57</v>
      </c>
      <c r="G17" s="39">
        <v>25</v>
      </c>
      <c r="I17" s="40" t="s">
        <v>46</v>
      </c>
      <c r="J17" s="41">
        <f t="shared" si="0"/>
        <v>136.1</v>
      </c>
      <c r="K17" s="42">
        <f t="shared" si="1"/>
        <v>2.8215557739272489E-2</v>
      </c>
    </row>
    <row r="18" spans="2:11" x14ac:dyDescent="0.25">
      <c r="B18" s="30" t="s">
        <v>146</v>
      </c>
      <c r="C18" s="30">
        <v>46182</v>
      </c>
      <c r="D18" s="37" t="s">
        <v>88</v>
      </c>
      <c r="E18" s="38" t="s">
        <v>87</v>
      </c>
      <c r="F18" s="37" t="s">
        <v>42</v>
      </c>
      <c r="G18" s="39">
        <v>73.349999999999994</v>
      </c>
      <c r="I18" s="40" t="s">
        <v>63</v>
      </c>
      <c r="J18" s="41">
        <f t="shared" si="0"/>
        <v>153.76000000000002</v>
      </c>
      <c r="K18" s="42">
        <f t="shared" si="1"/>
        <v>3.1876738853714469E-2</v>
      </c>
    </row>
    <row r="19" spans="2:11" x14ac:dyDescent="0.25">
      <c r="B19" s="30" t="s">
        <v>146</v>
      </c>
      <c r="C19" s="30">
        <v>46183</v>
      </c>
      <c r="D19" s="37" t="s">
        <v>90</v>
      </c>
      <c r="E19" s="38" t="s">
        <v>87</v>
      </c>
      <c r="F19" s="37" t="s">
        <v>57</v>
      </c>
      <c r="G19" s="39">
        <v>49.9</v>
      </c>
      <c r="I19" s="40" t="s">
        <v>45</v>
      </c>
      <c r="J19" s="41">
        <f t="shared" si="0"/>
        <v>349.16999999999996</v>
      </c>
      <c r="K19" s="42">
        <f t="shared" si="1"/>
        <v>7.2388143246302536E-2</v>
      </c>
    </row>
    <row r="20" spans="2:11" x14ac:dyDescent="0.25">
      <c r="B20" s="30" t="s">
        <v>146</v>
      </c>
      <c r="C20" s="30">
        <v>46183</v>
      </c>
      <c r="D20" s="37" t="s">
        <v>91</v>
      </c>
      <c r="E20" s="38" t="s">
        <v>87</v>
      </c>
      <c r="F20" s="37" t="s">
        <v>61</v>
      </c>
      <c r="G20" s="39">
        <v>19.5</v>
      </c>
      <c r="I20" s="40" t="s">
        <v>47</v>
      </c>
      <c r="J20" s="41">
        <f t="shared" si="0"/>
        <v>499.09999999999991</v>
      </c>
      <c r="K20" s="42">
        <f t="shared" si="1"/>
        <v>0.10347086603725862</v>
      </c>
    </row>
    <row r="21" spans="2:11" x14ac:dyDescent="0.25">
      <c r="B21" s="30" t="s">
        <v>146</v>
      </c>
      <c r="C21" s="30">
        <v>46183</v>
      </c>
      <c r="D21" s="37" t="s">
        <v>89</v>
      </c>
      <c r="E21" s="38" t="s">
        <v>87</v>
      </c>
      <c r="F21" s="37" t="s">
        <v>57</v>
      </c>
      <c r="G21" s="39">
        <v>25</v>
      </c>
      <c r="I21" s="5" t="s">
        <v>38</v>
      </c>
      <c r="J21" s="6">
        <f>SUM(J10:J20)</f>
        <v>4823.58</v>
      </c>
      <c r="K21" s="14">
        <f>IF(J21=0,0,J21/J21)</f>
        <v>1</v>
      </c>
    </row>
    <row r="22" spans="2:11" x14ac:dyDescent="0.25">
      <c r="B22" s="30" t="s">
        <v>146</v>
      </c>
      <c r="C22" s="30">
        <v>46183</v>
      </c>
      <c r="D22" s="37" t="s">
        <v>92</v>
      </c>
      <c r="E22" s="38" t="s">
        <v>87</v>
      </c>
      <c r="F22" s="37" t="s">
        <v>46</v>
      </c>
      <c r="G22" s="39">
        <v>40.9</v>
      </c>
    </row>
    <row r="23" spans="2:11" x14ac:dyDescent="0.25">
      <c r="B23" s="30" t="s">
        <v>146</v>
      </c>
      <c r="C23" s="30">
        <v>46184</v>
      </c>
      <c r="D23" s="37" t="s">
        <v>88</v>
      </c>
      <c r="E23" s="38" t="s">
        <v>87</v>
      </c>
      <c r="F23" s="37" t="s">
        <v>42</v>
      </c>
      <c r="G23" s="39">
        <v>18.03</v>
      </c>
    </row>
    <row r="24" spans="2:11" x14ac:dyDescent="0.25">
      <c r="B24" s="30" t="s">
        <v>146</v>
      </c>
      <c r="C24" s="30">
        <v>46185</v>
      </c>
      <c r="D24" s="37" t="s">
        <v>93</v>
      </c>
      <c r="E24" s="38" t="s">
        <v>87</v>
      </c>
      <c r="F24" s="37" t="s">
        <v>58</v>
      </c>
      <c r="G24" s="39">
        <v>23.98</v>
      </c>
    </row>
    <row r="25" spans="2:11" x14ac:dyDescent="0.25">
      <c r="B25" s="30" t="s">
        <v>146</v>
      </c>
      <c r="C25" s="30">
        <v>46185</v>
      </c>
      <c r="D25" s="37" t="s">
        <v>88</v>
      </c>
      <c r="E25" s="38" t="s">
        <v>87</v>
      </c>
      <c r="F25" s="37" t="s">
        <v>42</v>
      </c>
      <c r="G25" s="39">
        <v>14.18</v>
      </c>
    </row>
    <row r="26" spans="2:11" x14ac:dyDescent="0.25">
      <c r="B26" s="30" t="s">
        <v>146</v>
      </c>
      <c r="C26" s="30">
        <v>46185</v>
      </c>
      <c r="D26" s="37" t="s">
        <v>86</v>
      </c>
      <c r="E26" s="38" t="s">
        <v>87</v>
      </c>
      <c r="F26" s="37" t="s">
        <v>57</v>
      </c>
      <c r="G26" s="39">
        <v>108.28</v>
      </c>
    </row>
    <row r="27" spans="2:11" x14ac:dyDescent="0.25">
      <c r="B27" s="30" t="s">
        <v>146</v>
      </c>
      <c r="C27" s="30">
        <v>46186</v>
      </c>
      <c r="D27" s="37" t="s">
        <v>94</v>
      </c>
      <c r="E27" s="38" t="s">
        <v>87</v>
      </c>
      <c r="F27" s="37" t="s">
        <v>62</v>
      </c>
      <c r="G27" s="39">
        <v>67.959999999999994</v>
      </c>
    </row>
    <row r="28" spans="2:11" x14ac:dyDescent="0.25">
      <c r="B28" s="30" t="s">
        <v>146</v>
      </c>
      <c r="C28" s="30">
        <v>46186</v>
      </c>
      <c r="D28" s="37" t="s">
        <v>95</v>
      </c>
      <c r="E28" s="38" t="s">
        <v>87</v>
      </c>
      <c r="F28" s="37" t="s">
        <v>57</v>
      </c>
      <c r="G28" s="39">
        <v>42.98</v>
      </c>
    </row>
    <row r="29" spans="2:11" x14ac:dyDescent="0.25">
      <c r="B29" s="30" t="s">
        <v>146</v>
      </c>
      <c r="C29" s="30">
        <v>46186</v>
      </c>
      <c r="D29" s="37" t="s">
        <v>96</v>
      </c>
      <c r="E29" s="38" t="s">
        <v>87</v>
      </c>
      <c r="F29" s="37" t="s">
        <v>62</v>
      </c>
      <c r="G29" s="39">
        <v>94.97</v>
      </c>
    </row>
    <row r="30" spans="2:11" x14ac:dyDescent="0.25">
      <c r="B30" s="30" t="s">
        <v>146</v>
      </c>
      <c r="C30" s="30">
        <v>46186</v>
      </c>
      <c r="D30" s="37" t="s">
        <v>97</v>
      </c>
      <c r="E30" s="38" t="s">
        <v>87</v>
      </c>
      <c r="F30" s="37" t="s">
        <v>46</v>
      </c>
      <c r="G30" s="39">
        <v>63.2</v>
      </c>
    </row>
    <row r="31" spans="2:11" x14ac:dyDescent="0.25">
      <c r="B31" s="30" t="s">
        <v>146</v>
      </c>
      <c r="C31" s="30">
        <v>46186</v>
      </c>
      <c r="D31" s="37" t="s">
        <v>98</v>
      </c>
      <c r="E31" s="38" t="s">
        <v>87</v>
      </c>
      <c r="F31" s="37" t="s">
        <v>57</v>
      </c>
      <c r="G31" s="39">
        <v>263.98</v>
      </c>
    </row>
    <row r="32" spans="2:11" x14ac:dyDescent="0.25">
      <c r="B32" s="30" t="s">
        <v>146</v>
      </c>
      <c r="C32" s="30">
        <v>46186</v>
      </c>
      <c r="D32" s="37" t="s">
        <v>99</v>
      </c>
      <c r="E32" s="38" t="s">
        <v>87</v>
      </c>
      <c r="F32" s="37" t="s">
        <v>58</v>
      </c>
      <c r="G32" s="39">
        <v>17</v>
      </c>
    </row>
    <row r="33" spans="2:7" x14ac:dyDescent="0.25">
      <c r="B33" s="30" t="s">
        <v>146</v>
      </c>
      <c r="C33" s="30">
        <v>46188</v>
      </c>
      <c r="D33" s="37" t="s">
        <v>89</v>
      </c>
      <c r="E33" s="38" t="s">
        <v>87</v>
      </c>
      <c r="F33" s="37" t="s">
        <v>57</v>
      </c>
      <c r="G33" s="39">
        <v>50</v>
      </c>
    </row>
    <row r="34" spans="2:7" x14ac:dyDescent="0.25">
      <c r="B34" s="30" t="s">
        <v>146</v>
      </c>
      <c r="C34" s="30">
        <v>46189</v>
      </c>
      <c r="D34" s="37" t="s">
        <v>88</v>
      </c>
      <c r="E34" s="38" t="s">
        <v>87</v>
      </c>
      <c r="F34" s="37" t="s">
        <v>42</v>
      </c>
      <c r="G34" s="39">
        <v>14.18</v>
      </c>
    </row>
    <row r="35" spans="2:7" x14ac:dyDescent="0.25">
      <c r="B35" s="30" t="s">
        <v>146</v>
      </c>
      <c r="C35" s="30">
        <v>46189</v>
      </c>
      <c r="D35" s="37" t="s">
        <v>88</v>
      </c>
      <c r="E35" s="38" t="s">
        <v>87</v>
      </c>
      <c r="F35" s="37" t="s">
        <v>42</v>
      </c>
      <c r="G35" s="39">
        <v>21.46</v>
      </c>
    </row>
    <row r="36" spans="2:7" x14ac:dyDescent="0.25">
      <c r="B36" s="30" t="s">
        <v>146</v>
      </c>
      <c r="C36" s="30">
        <v>46190</v>
      </c>
      <c r="D36" s="37" t="s">
        <v>93</v>
      </c>
      <c r="E36" s="38" t="s">
        <v>87</v>
      </c>
      <c r="F36" s="37" t="s">
        <v>58</v>
      </c>
      <c r="G36" s="39">
        <v>6.9</v>
      </c>
    </row>
    <row r="37" spans="2:7" x14ac:dyDescent="0.25">
      <c r="B37" s="30" t="s">
        <v>146</v>
      </c>
      <c r="C37" s="30">
        <v>46191</v>
      </c>
      <c r="D37" s="37" t="s">
        <v>99</v>
      </c>
      <c r="E37" s="38" t="s">
        <v>87</v>
      </c>
      <c r="F37" s="37" t="s">
        <v>58</v>
      </c>
      <c r="G37" s="39">
        <v>13</v>
      </c>
    </row>
    <row r="38" spans="2:7" x14ac:dyDescent="0.25">
      <c r="B38" s="30" t="s">
        <v>146</v>
      </c>
      <c r="C38" s="30">
        <v>46192</v>
      </c>
      <c r="D38" s="37" t="s">
        <v>100</v>
      </c>
      <c r="E38" s="38" t="s">
        <v>87</v>
      </c>
      <c r="F38" s="37" t="s">
        <v>58</v>
      </c>
      <c r="G38" s="39">
        <v>6.91</v>
      </c>
    </row>
    <row r="39" spans="2:7" x14ac:dyDescent="0.25">
      <c r="B39" s="30" t="s">
        <v>146</v>
      </c>
      <c r="C39" s="30">
        <v>46192</v>
      </c>
      <c r="D39" s="37" t="s">
        <v>88</v>
      </c>
      <c r="E39" s="38" t="s">
        <v>87</v>
      </c>
      <c r="F39" s="37" t="s">
        <v>42</v>
      </c>
      <c r="G39" s="39">
        <v>14.08</v>
      </c>
    </row>
    <row r="40" spans="2:7" x14ac:dyDescent="0.25">
      <c r="B40" s="30" t="s">
        <v>146</v>
      </c>
      <c r="C40" s="30">
        <v>46192</v>
      </c>
      <c r="D40" s="37" t="s">
        <v>88</v>
      </c>
      <c r="E40" s="38" t="s">
        <v>87</v>
      </c>
      <c r="F40" s="37" t="s">
        <v>42</v>
      </c>
      <c r="G40" s="39">
        <v>23.74</v>
      </c>
    </row>
    <row r="41" spans="2:7" x14ac:dyDescent="0.25">
      <c r="B41" s="30" t="s">
        <v>146</v>
      </c>
      <c r="C41" s="30">
        <v>46192</v>
      </c>
      <c r="D41" s="37" t="s">
        <v>88</v>
      </c>
      <c r="E41" s="38" t="s">
        <v>87</v>
      </c>
      <c r="F41" s="37" t="s">
        <v>42</v>
      </c>
      <c r="G41" s="39">
        <v>24.81</v>
      </c>
    </row>
    <row r="42" spans="2:7" x14ac:dyDescent="0.25">
      <c r="B42" s="30" t="s">
        <v>146</v>
      </c>
      <c r="C42" s="30">
        <v>46192</v>
      </c>
      <c r="D42" s="37" t="s">
        <v>86</v>
      </c>
      <c r="E42" s="38" t="s">
        <v>87</v>
      </c>
      <c r="F42" s="37" t="s">
        <v>57</v>
      </c>
      <c r="G42" s="39">
        <v>102.41</v>
      </c>
    </row>
    <row r="43" spans="2:7" x14ac:dyDescent="0.25">
      <c r="B43" s="30" t="s">
        <v>146</v>
      </c>
      <c r="C43" s="30">
        <v>46193</v>
      </c>
      <c r="D43" s="37" t="s">
        <v>101</v>
      </c>
      <c r="E43" s="38" t="s">
        <v>87</v>
      </c>
      <c r="F43" s="37" t="s">
        <v>57</v>
      </c>
      <c r="G43" s="39">
        <v>163.94</v>
      </c>
    </row>
    <row r="44" spans="2:7" x14ac:dyDescent="0.25">
      <c r="B44" s="30" t="s">
        <v>146</v>
      </c>
      <c r="C44" s="30">
        <v>46193</v>
      </c>
      <c r="D44" s="37" t="s">
        <v>102</v>
      </c>
      <c r="E44" s="38" t="s">
        <v>87</v>
      </c>
      <c r="F44" s="37" t="s">
        <v>47</v>
      </c>
      <c r="G44" s="39">
        <v>51.9</v>
      </c>
    </row>
    <row r="45" spans="2:7" x14ac:dyDescent="0.25">
      <c r="B45" s="30" t="s">
        <v>146</v>
      </c>
      <c r="C45" s="30">
        <v>46193</v>
      </c>
      <c r="D45" s="37" t="s">
        <v>103</v>
      </c>
      <c r="E45" s="38" t="s">
        <v>87</v>
      </c>
      <c r="F45" s="37" t="s">
        <v>61</v>
      </c>
      <c r="G45" s="39">
        <v>50.37</v>
      </c>
    </row>
    <row r="46" spans="2:7" x14ac:dyDescent="0.25">
      <c r="B46" s="30" t="s">
        <v>146</v>
      </c>
      <c r="C46" s="30">
        <v>46194</v>
      </c>
      <c r="D46" s="37" t="s">
        <v>104</v>
      </c>
      <c r="E46" s="38" t="s">
        <v>87</v>
      </c>
      <c r="F46" s="37" t="s">
        <v>47</v>
      </c>
      <c r="G46" s="39">
        <v>101.8</v>
      </c>
    </row>
    <row r="47" spans="2:7" x14ac:dyDescent="0.25">
      <c r="B47" s="30" t="s">
        <v>146</v>
      </c>
      <c r="C47" s="30">
        <v>46194</v>
      </c>
      <c r="D47" s="37" t="s">
        <v>93</v>
      </c>
      <c r="E47" s="38" t="s">
        <v>87</v>
      </c>
      <c r="F47" s="37" t="s">
        <v>58</v>
      </c>
      <c r="G47" s="39">
        <v>59.95</v>
      </c>
    </row>
    <row r="48" spans="2:7" x14ac:dyDescent="0.25">
      <c r="B48" s="30" t="s">
        <v>146</v>
      </c>
      <c r="C48" s="30">
        <v>46195</v>
      </c>
      <c r="D48" s="37" t="s">
        <v>105</v>
      </c>
      <c r="E48" s="38" t="s">
        <v>87</v>
      </c>
      <c r="F48" s="37" t="s">
        <v>63</v>
      </c>
      <c r="G48" s="39">
        <v>39.799999999999997</v>
      </c>
    </row>
    <row r="49" spans="2:7" x14ac:dyDescent="0.25">
      <c r="B49" s="30" t="s">
        <v>146</v>
      </c>
      <c r="C49" s="30">
        <v>46195</v>
      </c>
      <c r="D49" s="37" t="s">
        <v>106</v>
      </c>
      <c r="E49" s="38" t="s">
        <v>87</v>
      </c>
      <c r="F49" s="37" t="s">
        <v>57</v>
      </c>
      <c r="G49" s="39">
        <v>39.5</v>
      </c>
    </row>
    <row r="50" spans="2:7" x14ac:dyDescent="0.25">
      <c r="B50" s="30" t="s">
        <v>146</v>
      </c>
      <c r="C50" s="30">
        <v>46197</v>
      </c>
      <c r="D50" s="37" t="s">
        <v>107</v>
      </c>
      <c r="E50" s="38" t="s">
        <v>87</v>
      </c>
      <c r="F50" s="37" t="s">
        <v>57</v>
      </c>
      <c r="G50" s="39">
        <v>45</v>
      </c>
    </row>
    <row r="51" spans="2:7" x14ac:dyDescent="0.25">
      <c r="B51" s="30" t="s">
        <v>146</v>
      </c>
      <c r="C51" s="30">
        <v>46197</v>
      </c>
      <c r="D51" s="37" t="s">
        <v>108</v>
      </c>
      <c r="E51" s="38" t="s">
        <v>87</v>
      </c>
      <c r="F51" s="37" t="s">
        <v>57</v>
      </c>
      <c r="G51" s="39">
        <v>25.92</v>
      </c>
    </row>
    <row r="52" spans="2:7" x14ac:dyDescent="0.25">
      <c r="B52" s="30" t="s">
        <v>146</v>
      </c>
      <c r="C52" s="30">
        <v>46198</v>
      </c>
      <c r="D52" s="37" t="s">
        <v>107</v>
      </c>
      <c r="E52" s="38" t="s">
        <v>87</v>
      </c>
      <c r="F52" s="37" t="s">
        <v>57</v>
      </c>
      <c r="G52" s="39">
        <v>24</v>
      </c>
    </row>
    <row r="53" spans="2:7" x14ac:dyDescent="0.25">
      <c r="B53" s="30" t="s">
        <v>146</v>
      </c>
      <c r="C53" s="30">
        <v>46198</v>
      </c>
      <c r="D53" s="37" t="s">
        <v>108</v>
      </c>
      <c r="E53" s="38" t="s">
        <v>87</v>
      </c>
      <c r="F53" s="37" t="s">
        <v>57</v>
      </c>
      <c r="G53" s="39">
        <v>30.24</v>
      </c>
    </row>
    <row r="54" spans="2:7" x14ac:dyDescent="0.25">
      <c r="B54" s="30" t="s">
        <v>146</v>
      </c>
      <c r="C54" s="30">
        <v>46199</v>
      </c>
      <c r="D54" s="37" t="s">
        <v>109</v>
      </c>
      <c r="E54" s="38" t="s">
        <v>87</v>
      </c>
      <c r="F54" s="37" t="s">
        <v>46</v>
      </c>
      <c r="G54" s="39">
        <v>32</v>
      </c>
    </row>
    <row r="55" spans="2:7" x14ac:dyDescent="0.25">
      <c r="B55" s="30" t="s">
        <v>146</v>
      </c>
      <c r="C55" s="30">
        <v>46199</v>
      </c>
      <c r="D55" s="37" t="s">
        <v>107</v>
      </c>
      <c r="E55" s="38" t="s">
        <v>87</v>
      </c>
      <c r="F55" s="37" t="s">
        <v>57</v>
      </c>
      <c r="G55" s="39">
        <v>41</v>
      </c>
    </row>
    <row r="56" spans="2:7" x14ac:dyDescent="0.25">
      <c r="B56" s="30" t="s">
        <v>146</v>
      </c>
      <c r="C56" s="30">
        <v>46199</v>
      </c>
      <c r="D56" s="37" t="s">
        <v>108</v>
      </c>
      <c r="E56" s="38" t="s">
        <v>87</v>
      </c>
      <c r="F56" s="37" t="s">
        <v>57</v>
      </c>
      <c r="G56" s="39">
        <v>23.18</v>
      </c>
    </row>
    <row r="57" spans="2:7" x14ac:dyDescent="0.25">
      <c r="B57" s="30" t="s">
        <v>146</v>
      </c>
      <c r="C57" s="30">
        <v>46199</v>
      </c>
      <c r="D57" s="37" t="s">
        <v>110</v>
      </c>
      <c r="E57" s="38" t="s">
        <v>111</v>
      </c>
      <c r="F57" s="37" t="s">
        <v>47</v>
      </c>
      <c r="G57" s="39">
        <v>137.97999999999999</v>
      </c>
    </row>
    <row r="58" spans="2:7" x14ac:dyDescent="0.25">
      <c r="B58" s="30" t="s">
        <v>146</v>
      </c>
      <c r="C58" s="30">
        <v>46200</v>
      </c>
      <c r="D58" s="37" t="s">
        <v>112</v>
      </c>
      <c r="E58" s="38" t="s">
        <v>87</v>
      </c>
      <c r="F58" s="37" t="s">
        <v>57</v>
      </c>
      <c r="G58" s="39">
        <v>45.98</v>
      </c>
    </row>
    <row r="59" spans="2:7" x14ac:dyDescent="0.25">
      <c r="B59" s="30" t="s">
        <v>146</v>
      </c>
      <c r="C59" s="30">
        <v>46201</v>
      </c>
      <c r="D59" s="37" t="s">
        <v>107</v>
      </c>
      <c r="E59" s="38" t="s">
        <v>87</v>
      </c>
      <c r="F59" s="37" t="s">
        <v>57</v>
      </c>
      <c r="G59" s="39">
        <v>58</v>
      </c>
    </row>
    <row r="60" spans="2:7" x14ac:dyDescent="0.25">
      <c r="B60" s="30" t="s">
        <v>146</v>
      </c>
      <c r="C60" s="30">
        <v>46202</v>
      </c>
      <c r="D60" s="37" t="s">
        <v>107</v>
      </c>
      <c r="E60" s="38" t="s">
        <v>87</v>
      </c>
      <c r="F60" s="37" t="s">
        <v>57</v>
      </c>
      <c r="G60" s="39">
        <v>24</v>
      </c>
    </row>
    <row r="61" spans="2:7" x14ac:dyDescent="0.25">
      <c r="B61" s="30" t="s">
        <v>146</v>
      </c>
      <c r="C61" s="30">
        <v>46202</v>
      </c>
      <c r="D61" s="37" t="s">
        <v>113</v>
      </c>
      <c r="E61" s="38" t="s">
        <v>87</v>
      </c>
      <c r="F61" s="37" t="s">
        <v>57</v>
      </c>
      <c r="G61" s="39">
        <v>25.06</v>
      </c>
    </row>
    <row r="62" spans="2:7" x14ac:dyDescent="0.25">
      <c r="B62" s="30" t="s">
        <v>146</v>
      </c>
      <c r="C62" s="30">
        <v>46203</v>
      </c>
      <c r="D62" s="37" t="s">
        <v>114</v>
      </c>
      <c r="E62" s="38" t="s">
        <v>87</v>
      </c>
      <c r="F62" s="37" t="s">
        <v>57</v>
      </c>
      <c r="G62" s="39">
        <v>87.1</v>
      </c>
    </row>
    <row r="63" spans="2:7" x14ac:dyDescent="0.25">
      <c r="B63" s="30" t="s">
        <v>146</v>
      </c>
      <c r="C63" s="30">
        <v>46203</v>
      </c>
      <c r="D63" s="37" t="s">
        <v>112</v>
      </c>
      <c r="E63" s="38" t="s">
        <v>87</v>
      </c>
      <c r="F63" s="37" t="s">
        <v>57</v>
      </c>
      <c r="G63" s="39">
        <v>38.880000000000003</v>
      </c>
    </row>
    <row r="64" spans="2:7" x14ac:dyDescent="0.25">
      <c r="B64" s="30" t="s">
        <v>146</v>
      </c>
      <c r="C64" s="30">
        <v>46204</v>
      </c>
      <c r="D64" s="37" t="s">
        <v>93</v>
      </c>
      <c r="E64" s="38" t="s">
        <v>87</v>
      </c>
      <c r="F64" s="37" t="s">
        <v>58</v>
      </c>
      <c r="G64" s="39">
        <v>35.97</v>
      </c>
    </row>
    <row r="65" spans="2:7" x14ac:dyDescent="0.25">
      <c r="B65" s="30" t="s">
        <v>146</v>
      </c>
      <c r="C65" s="30">
        <v>46204</v>
      </c>
      <c r="D65" s="37" t="s">
        <v>115</v>
      </c>
      <c r="E65" s="38" t="s">
        <v>87</v>
      </c>
      <c r="F65" s="37" t="s">
        <v>57</v>
      </c>
      <c r="G65" s="39">
        <v>120</v>
      </c>
    </row>
    <row r="66" spans="2:7" x14ac:dyDescent="0.25">
      <c r="B66" s="30" t="s">
        <v>146</v>
      </c>
      <c r="C66" s="30">
        <v>46205</v>
      </c>
      <c r="D66" s="37" t="s">
        <v>116</v>
      </c>
      <c r="E66" s="38" t="s">
        <v>87</v>
      </c>
      <c r="F66" s="37" t="s">
        <v>57</v>
      </c>
      <c r="G66" s="39">
        <v>57.63</v>
      </c>
    </row>
    <row r="67" spans="2:7" x14ac:dyDescent="0.25">
      <c r="B67" s="30" t="s">
        <v>146</v>
      </c>
      <c r="C67" s="30">
        <v>46206</v>
      </c>
      <c r="D67" s="37" t="s">
        <v>117</v>
      </c>
      <c r="E67" s="38" t="s">
        <v>87</v>
      </c>
      <c r="F67" s="37" t="s">
        <v>57</v>
      </c>
      <c r="G67" s="39">
        <v>39.25</v>
      </c>
    </row>
    <row r="68" spans="2:7" x14ac:dyDescent="0.25">
      <c r="B68" s="30" t="s">
        <v>146</v>
      </c>
      <c r="C68" s="30">
        <v>46206</v>
      </c>
      <c r="D68" s="37" t="s">
        <v>118</v>
      </c>
      <c r="E68" s="38" t="s">
        <v>87</v>
      </c>
      <c r="F68" s="37" t="s">
        <v>60</v>
      </c>
      <c r="G68" s="39">
        <v>112</v>
      </c>
    </row>
    <row r="69" spans="2:7" x14ac:dyDescent="0.25">
      <c r="B69" s="30" t="s">
        <v>146</v>
      </c>
      <c r="C69" s="30">
        <v>46206</v>
      </c>
      <c r="D69" s="37" t="s">
        <v>119</v>
      </c>
      <c r="E69" s="38" t="s">
        <v>120</v>
      </c>
      <c r="F69" s="37" t="s">
        <v>60</v>
      </c>
      <c r="G69" s="39">
        <v>42.8</v>
      </c>
    </row>
    <row r="70" spans="2:7" x14ac:dyDescent="0.25">
      <c r="B70" s="30" t="s">
        <v>146</v>
      </c>
      <c r="C70" s="30">
        <v>46206</v>
      </c>
      <c r="D70" s="37" t="s">
        <v>121</v>
      </c>
      <c r="E70" s="38" t="s">
        <v>87</v>
      </c>
      <c r="F70" s="37" t="s">
        <v>60</v>
      </c>
      <c r="G70" s="39">
        <v>72.5</v>
      </c>
    </row>
    <row r="71" spans="2:7" x14ac:dyDescent="0.25">
      <c r="B71" s="30" t="s">
        <v>146</v>
      </c>
      <c r="C71" s="30">
        <v>46207</v>
      </c>
      <c r="D71" s="37" t="s">
        <v>93</v>
      </c>
      <c r="E71" s="38" t="s">
        <v>87</v>
      </c>
      <c r="F71" s="37" t="s">
        <v>58</v>
      </c>
      <c r="G71" s="39">
        <v>33.96</v>
      </c>
    </row>
    <row r="72" spans="2:7" x14ac:dyDescent="0.25">
      <c r="B72" s="30" t="s">
        <v>146</v>
      </c>
      <c r="C72" s="30">
        <v>46207</v>
      </c>
      <c r="D72" s="37" t="s">
        <v>93</v>
      </c>
      <c r="E72" s="38" t="s">
        <v>87</v>
      </c>
      <c r="F72" s="37" t="s">
        <v>58</v>
      </c>
      <c r="G72" s="39">
        <v>45.97</v>
      </c>
    </row>
    <row r="73" spans="2:7" x14ac:dyDescent="0.25">
      <c r="B73" s="30" t="s">
        <v>146</v>
      </c>
      <c r="C73" s="30">
        <v>46207</v>
      </c>
      <c r="D73" s="37" t="s">
        <v>122</v>
      </c>
      <c r="E73" s="38" t="s">
        <v>87</v>
      </c>
      <c r="F73" s="37" t="s">
        <v>57</v>
      </c>
      <c r="G73" s="39">
        <v>45.9</v>
      </c>
    </row>
    <row r="74" spans="2:7" x14ac:dyDescent="0.25">
      <c r="B74" s="30" t="s">
        <v>146</v>
      </c>
      <c r="C74" s="30">
        <v>46207</v>
      </c>
      <c r="D74" s="37" t="s">
        <v>123</v>
      </c>
      <c r="E74" s="38" t="s">
        <v>87</v>
      </c>
      <c r="F74" s="37" t="s">
        <v>63</v>
      </c>
      <c r="G74" s="39">
        <v>9.9</v>
      </c>
    </row>
    <row r="75" spans="2:7" x14ac:dyDescent="0.25">
      <c r="B75" s="30" t="s">
        <v>146</v>
      </c>
      <c r="C75" s="30">
        <v>46207</v>
      </c>
      <c r="D75" s="37" t="s">
        <v>124</v>
      </c>
      <c r="E75" s="38" t="s">
        <v>87</v>
      </c>
      <c r="F75" s="37" t="s">
        <v>57</v>
      </c>
      <c r="G75" s="39">
        <v>99.13</v>
      </c>
    </row>
    <row r="76" spans="2:7" x14ac:dyDescent="0.25">
      <c r="B76" s="30" t="s">
        <v>146</v>
      </c>
      <c r="C76" s="30">
        <v>46208</v>
      </c>
      <c r="D76" s="37" t="s">
        <v>125</v>
      </c>
      <c r="E76" s="38" t="s">
        <v>87</v>
      </c>
      <c r="F76" s="37" t="s">
        <v>47</v>
      </c>
      <c r="G76" s="39">
        <v>48</v>
      </c>
    </row>
    <row r="77" spans="2:7" x14ac:dyDescent="0.25">
      <c r="B77" s="30" t="s">
        <v>146</v>
      </c>
      <c r="C77" s="30">
        <v>46209</v>
      </c>
      <c r="D77" s="37" t="s">
        <v>126</v>
      </c>
      <c r="E77" s="38" t="s">
        <v>87</v>
      </c>
      <c r="F77" s="37" t="s">
        <v>57</v>
      </c>
      <c r="G77" s="39">
        <v>50.2</v>
      </c>
    </row>
    <row r="78" spans="2:7" x14ac:dyDescent="0.25">
      <c r="B78" s="30" t="s">
        <v>146</v>
      </c>
      <c r="C78" s="30">
        <v>46209</v>
      </c>
      <c r="D78" s="37" t="s">
        <v>93</v>
      </c>
      <c r="E78" s="38" t="s">
        <v>87</v>
      </c>
      <c r="F78" s="37" t="s">
        <v>58</v>
      </c>
      <c r="G78" s="39">
        <v>33.99</v>
      </c>
    </row>
    <row r="79" spans="2:7" x14ac:dyDescent="0.25">
      <c r="B79" s="30" t="s">
        <v>146</v>
      </c>
      <c r="C79" s="30">
        <v>46209</v>
      </c>
      <c r="D79" s="37" t="s">
        <v>88</v>
      </c>
      <c r="E79" s="38" t="s">
        <v>127</v>
      </c>
      <c r="F79" s="37" t="s">
        <v>42</v>
      </c>
      <c r="G79" s="39">
        <v>17.989999999999998</v>
      </c>
    </row>
    <row r="80" spans="2:7" x14ac:dyDescent="0.25">
      <c r="B80" s="30" t="s">
        <v>146</v>
      </c>
      <c r="C80" s="30">
        <v>46210</v>
      </c>
      <c r="D80" s="37" t="s">
        <v>88</v>
      </c>
      <c r="E80" s="38" t="s">
        <v>127</v>
      </c>
      <c r="F80" s="37" t="s">
        <v>42</v>
      </c>
      <c r="G80" s="39">
        <v>19.55</v>
      </c>
    </row>
    <row r="81" spans="2:7" x14ac:dyDescent="0.25">
      <c r="B81" s="30" t="s">
        <v>146</v>
      </c>
      <c r="C81" s="30">
        <v>45955</v>
      </c>
      <c r="D81" s="37" t="s">
        <v>128</v>
      </c>
      <c r="E81" s="38" t="s">
        <v>129</v>
      </c>
      <c r="F81" s="37" t="s">
        <v>47</v>
      </c>
      <c r="G81" s="39">
        <v>159.41999999999999</v>
      </c>
    </row>
    <row r="82" spans="2:7" x14ac:dyDescent="0.25">
      <c r="B82" s="30" t="s">
        <v>146</v>
      </c>
      <c r="C82" s="30">
        <v>45959</v>
      </c>
      <c r="D82" s="37" t="s">
        <v>130</v>
      </c>
      <c r="E82" s="38" t="s">
        <v>129</v>
      </c>
      <c r="F82" s="37" t="s">
        <v>61</v>
      </c>
      <c r="G82" s="39">
        <v>143.5</v>
      </c>
    </row>
    <row r="83" spans="2:7" x14ac:dyDescent="0.25">
      <c r="B83" s="30" t="s">
        <v>146</v>
      </c>
      <c r="C83" s="30">
        <v>46000</v>
      </c>
      <c r="D83" s="37" t="s">
        <v>131</v>
      </c>
      <c r="E83" s="38" t="s">
        <v>132</v>
      </c>
      <c r="F83" s="37" t="s">
        <v>45</v>
      </c>
      <c r="G83" s="39">
        <v>59.9</v>
      </c>
    </row>
    <row r="84" spans="2:7" x14ac:dyDescent="0.25">
      <c r="B84" s="30" t="s">
        <v>146</v>
      </c>
      <c r="C84" s="30">
        <v>46008</v>
      </c>
      <c r="D84" s="37" t="s">
        <v>133</v>
      </c>
      <c r="E84" s="38" t="s">
        <v>134</v>
      </c>
      <c r="F84" s="37" t="s">
        <v>45</v>
      </c>
      <c r="G84" s="39">
        <v>289.27</v>
      </c>
    </row>
    <row r="85" spans="2:7" x14ac:dyDescent="0.25">
      <c r="B85" s="30" t="s">
        <v>146</v>
      </c>
      <c r="C85" s="30">
        <v>46073</v>
      </c>
      <c r="D85" s="37" t="s">
        <v>135</v>
      </c>
      <c r="E85" s="38" t="s">
        <v>87</v>
      </c>
      <c r="F85" s="37" t="s">
        <v>59</v>
      </c>
      <c r="G85" s="39">
        <v>13.9</v>
      </c>
    </row>
    <row r="86" spans="2:7" x14ac:dyDescent="0.25">
      <c r="B86" s="30" t="s">
        <v>146</v>
      </c>
      <c r="C86" s="30">
        <v>46133</v>
      </c>
      <c r="D86" s="37" t="s">
        <v>136</v>
      </c>
      <c r="E86" s="38" t="s">
        <v>87</v>
      </c>
      <c r="F86" s="37" t="s">
        <v>59</v>
      </c>
      <c r="G86" s="39">
        <v>24.25</v>
      </c>
    </row>
    <row r="87" spans="2:7" x14ac:dyDescent="0.25">
      <c r="B87" s="30" t="s">
        <v>146</v>
      </c>
      <c r="C87" s="30">
        <v>46188</v>
      </c>
      <c r="D87" s="37" t="s">
        <v>137</v>
      </c>
      <c r="E87" s="38" t="s">
        <v>87</v>
      </c>
      <c r="F87" s="37" t="s">
        <v>59</v>
      </c>
      <c r="G87" s="39">
        <v>32.9</v>
      </c>
    </row>
    <row r="88" spans="2:7" x14ac:dyDescent="0.25">
      <c r="B88" s="30" t="s">
        <v>146</v>
      </c>
      <c r="C88" s="30">
        <v>46189</v>
      </c>
      <c r="D88" s="37" t="s">
        <v>138</v>
      </c>
      <c r="E88" s="38" t="s">
        <v>87</v>
      </c>
      <c r="F88" s="37" t="s">
        <v>59</v>
      </c>
      <c r="G88" s="39">
        <v>27.5</v>
      </c>
    </row>
    <row r="89" spans="2:7" x14ac:dyDescent="0.25">
      <c r="B89" s="30" t="s">
        <v>146</v>
      </c>
      <c r="C89" s="30">
        <v>46202</v>
      </c>
      <c r="D89" s="37" t="s">
        <v>139</v>
      </c>
      <c r="E89" s="38" t="s">
        <v>140</v>
      </c>
      <c r="F89" s="37" t="s">
        <v>57</v>
      </c>
      <c r="G89" s="39">
        <v>7.95</v>
      </c>
    </row>
    <row r="90" spans="2:7" x14ac:dyDescent="0.25">
      <c r="B90" s="30" t="s">
        <v>146</v>
      </c>
      <c r="C90" s="30">
        <v>46211</v>
      </c>
      <c r="D90" s="37" t="s">
        <v>141</v>
      </c>
      <c r="E90" s="38" t="s">
        <v>87</v>
      </c>
      <c r="F90" s="37" t="s">
        <v>59</v>
      </c>
      <c r="G90" s="39">
        <v>19.899999999999999</v>
      </c>
    </row>
    <row r="91" spans="2:7" x14ac:dyDescent="0.25">
      <c r="B91" s="30" t="s">
        <v>146</v>
      </c>
      <c r="C91" s="30">
        <v>46182</v>
      </c>
      <c r="D91" s="37" t="s">
        <v>142</v>
      </c>
      <c r="E91" s="38"/>
      <c r="F91" s="37" t="s">
        <v>47</v>
      </c>
      <c r="G91" s="39">
        <v>62</v>
      </c>
    </row>
    <row r="92" spans="2:7" x14ac:dyDescent="0.25">
      <c r="B92" s="30" t="s">
        <v>146</v>
      </c>
      <c r="C92" s="30">
        <v>46211</v>
      </c>
      <c r="D92" s="37" t="s">
        <v>143</v>
      </c>
      <c r="E92" s="38"/>
      <c r="F92" s="37" t="s">
        <v>47</v>
      </c>
      <c r="G92" s="39">
        <v>-62</v>
      </c>
    </row>
    <row r="93" spans="2:7" x14ac:dyDescent="0.25">
      <c r="B93" s="30" t="s">
        <v>147</v>
      </c>
      <c r="C93" s="25"/>
      <c r="D93" s="26"/>
      <c r="E93" s="27"/>
      <c r="F93" s="26"/>
      <c r="G93" s="28"/>
    </row>
    <row r="94" spans="2:7" x14ac:dyDescent="0.25">
      <c r="B94" s="30"/>
      <c r="C94" s="12"/>
      <c r="D94" s="10"/>
      <c r="E94" s="15"/>
      <c r="F94" s="10"/>
      <c r="G94" s="11"/>
    </row>
    <row r="95" spans="2:7" x14ac:dyDescent="0.25">
      <c r="B95" s="30"/>
      <c r="C95" s="12"/>
      <c r="D95" s="10"/>
      <c r="E95" s="15"/>
      <c r="F95" s="10"/>
      <c r="G95" s="11"/>
    </row>
    <row r="96" spans="2:7" x14ac:dyDescent="0.25">
      <c r="B96" s="30"/>
      <c r="C96" s="12"/>
      <c r="D96" s="10"/>
      <c r="E96" s="15"/>
      <c r="F96" s="10"/>
      <c r="G96" s="11"/>
    </row>
    <row r="97" spans="2:7" x14ac:dyDescent="0.25">
      <c r="B97" s="30"/>
      <c r="C97" s="12"/>
      <c r="D97" s="10"/>
      <c r="E97" s="15"/>
      <c r="F97" s="10"/>
      <c r="G97" s="11"/>
    </row>
    <row r="98" spans="2:7" x14ac:dyDescent="0.25">
      <c r="B98" s="30"/>
      <c r="C98" s="12"/>
      <c r="D98" s="10"/>
      <c r="E98" s="15"/>
      <c r="F98" s="10"/>
      <c r="G98" s="11"/>
    </row>
    <row r="99" spans="2:7" x14ac:dyDescent="0.25">
      <c r="B99" s="30"/>
      <c r="C99" s="12"/>
      <c r="D99" s="10"/>
      <c r="E99" s="15"/>
      <c r="F99" s="10"/>
      <c r="G99" s="11"/>
    </row>
    <row r="100" spans="2:7" x14ac:dyDescent="0.25">
      <c r="B100" s="30"/>
      <c r="C100" s="12"/>
      <c r="D100" s="10"/>
      <c r="E100" s="15"/>
      <c r="F100" s="10"/>
      <c r="G100" s="11"/>
    </row>
    <row r="101" spans="2:7" x14ac:dyDescent="0.25">
      <c r="B101" s="30"/>
      <c r="C101" s="12"/>
      <c r="D101" s="10"/>
      <c r="E101" s="15"/>
      <c r="F101" s="10"/>
      <c r="G101" s="11"/>
    </row>
    <row r="102" spans="2:7" x14ac:dyDescent="0.25">
      <c r="B102" s="30"/>
      <c r="C102" s="12"/>
      <c r="D102" s="10"/>
      <c r="E102" s="15"/>
      <c r="F102" s="10"/>
      <c r="G102" s="11"/>
    </row>
    <row r="103" spans="2:7" x14ac:dyDescent="0.25">
      <c r="B103" s="30"/>
      <c r="C103" s="12"/>
      <c r="D103" s="10"/>
      <c r="E103" s="15"/>
      <c r="F103" s="10"/>
      <c r="G103" s="11"/>
    </row>
    <row r="104" spans="2:7" x14ac:dyDescent="0.25">
      <c r="B104" s="30"/>
      <c r="C104" s="12"/>
      <c r="D104" s="10"/>
      <c r="E104" s="15"/>
      <c r="F104" s="10"/>
      <c r="G104" s="11"/>
    </row>
    <row r="105" spans="2:7" x14ac:dyDescent="0.25">
      <c r="B105" s="30"/>
      <c r="C105" s="12"/>
      <c r="D105" s="10"/>
      <c r="E105" s="15"/>
      <c r="F105" s="10"/>
      <c r="G105" s="11"/>
    </row>
    <row r="106" spans="2:7" x14ac:dyDescent="0.25">
      <c r="B106" s="30"/>
      <c r="C106" s="12"/>
      <c r="D106" s="10"/>
      <c r="E106" s="15"/>
      <c r="F106" s="10"/>
      <c r="G106" s="11"/>
    </row>
    <row r="107" spans="2:7" x14ac:dyDescent="0.25">
      <c r="B107" s="30"/>
      <c r="C107" s="12"/>
      <c r="D107" s="10"/>
      <c r="E107" s="15"/>
      <c r="F107" s="10"/>
      <c r="G107" s="11"/>
    </row>
    <row r="108" spans="2:7" x14ac:dyDescent="0.25">
      <c r="B108" s="30"/>
      <c r="C108" s="12"/>
      <c r="D108" s="10"/>
      <c r="E108" s="15"/>
      <c r="F108" s="10"/>
      <c r="G108" s="11"/>
    </row>
    <row r="109" spans="2:7" x14ac:dyDescent="0.25">
      <c r="B109" s="30"/>
      <c r="C109" s="12"/>
      <c r="D109" s="10"/>
      <c r="E109" s="15"/>
      <c r="F109" s="10"/>
      <c r="G109" s="11"/>
    </row>
    <row r="110" spans="2:7" x14ac:dyDescent="0.25">
      <c r="B110" s="5" t="s">
        <v>38</v>
      </c>
      <c r="C110" s="5" t="s">
        <v>38</v>
      </c>
      <c r="D110" s="5"/>
      <c r="E110" s="5"/>
      <c r="F110" s="5"/>
      <c r="G110" s="6">
        <f>SUM(G10:G109)</f>
        <v>4823.579999999999</v>
      </c>
    </row>
  </sheetData>
  <autoFilter ref="B9:G93" xr:uid="{00000000-0001-0000-0200-000000000000}"/>
  <mergeCells count="3">
    <mergeCell ref="I8:K8"/>
    <mergeCell ref="B1:K1"/>
    <mergeCell ref="B8:G8"/>
  </mergeCells>
  <dataValidations count="1">
    <dataValidation type="list" allowBlank="1" showInputMessage="1" showErrorMessage="1" sqref="F10:F109" xr:uid="{A1AEC8B2-FB32-433D-AE63-0B7824639F34}">
      <formula1>$I$10:$I$20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80DD4F-95DC-4007-991E-1EFBE57B1FC5}">
          <x14:formula1>
            <xm:f>Resumo!$B$6:$B$17</xm:f>
          </x14:formula1>
          <xm:sqref>D2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AA4DE-333D-44C1-9F3F-CF9F0FF17FF9}">
  <sheetPr>
    <tabColor theme="4"/>
  </sheetPr>
  <dimension ref="A1:M61"/>
  <sheetViews>
    <sheetView showGridLines="0" tabSelected="1" zoomScaleNormal="100" workbookViewId="0">
      <selection activeCell="G17" sqref="G17"/>
    </sheetView>
  </sheetViews>
  <sheetFormatPr defaultColWidth="8.7109375" defaultRowHeight="15" x14ac:dyDescent="0.25"/>
  <cols>
    <col min="1" max="1" width="2" customWidth="1"/>
    <col min="2" max="2" width="22" customWidth="1"/>
    <col min="3" max="3" width="14" customWidth="1"/>
    <col min="4" max="4" width="4" customWidth="1"/>
    <col min="5" max="5" width="11" style="18" customWidth="1"/>
    <col min="6" max="6" width="26" customWidth="1"/>
    <col min="7" max="7" width="25.7109375" bestFit="1" customWidth="1"/>
    <col min="8" max="8" width="12" customWidth="1"/>
    <col min="9" max="9" width="12.7109375" customWidth="1"/>
    <col min="10" max="10" width="2" customWidth="1"/>
    <col min="11" max="11" width="26" customWidth="1"/>
    <col min="12" max="12" width="13" customWidth="1"/>
    <col min="13" max="13" width="9.7109375" customWidth="1"/>
  </cols>
  <sheetData>
    <row r="1" spans="1:13" ht="24" customHeight="1" x14ac:dyDescent="0.25">
      <c r="B1" s="45" t="s">
        <v>25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x14ac:dyDescent="0.25">
      <c r="B2" s="7" t="s">
        <v>26</v>
      </c>
      <c r="C2" s="9" t="s">
        <v>14</v>
      </c>
      <c r="D2" s="8"/>
    </row>
    <row r="4" spans="1:13" x14ac:dyDescent="0.25">
      <c r="B4" s="5" t="s">
        <v>28</v>
      </c>
      <c r="C4" s="6">
        <f>C21</f>
        <v>17241.54</v>
      </c>
      <c r="G4" s="5" t="s">
        <v>71</v>
      </c>
      <c r="H4" s="6">
        <f>SUMIF($I$11:$I$60,"Pago",$H$11:$H$60)</f>
        <v>0</v>
      </c>
    </row>
    <row r="5" spans="1:13" x14ac:dyDescent="0.25">
      <c r="B5" s="5" t="s">
        <v>29</v>
      </c>
      <c r="C5" s="6">
        <f>L20</f>
        <v>20477.423999999999</v>
      </c>
      <c r="G5" s="5" t="s">
        <v>72</v>
      </c>
      <c r="H5" s="6">
        <f>SUMIF($I$11:$I$60,"Não pago",$H$11:$H$60)</f>
        <v>20477.423999999999</v>
      </c>
    </row>
    <row r="6" spans="1:13" x14ac:dyDescent="0.25">
      <c r="B6" s="5" t="s">
        <v>30</v>
      </c>
      <c r="C6" s="6">
        <f>C4-C5</f>
        <v>-3235.8839999999982</v>
      </c>
    </row>
    <row r="8" spans="1:13" x14ac:dyDescent="0.25">
      <c r="A8" s="18"/>
      <c r="B8" s="18"/>
      <c r="C8" s="18"/>
      <c r="D8" s="18"/>
    </row>
    <row r="9" spans="1:13" ht="16.5" x14ac:dyDescent="0.25">
      <c r="B9" s="45" t="s">
        <v>31</v>
      </c>
      <c r="C9" s="45"/>
      <c r="E9" s="45" t="s">
        <v>158</v>
      </c>
      <c r="F9" s="45"/>
      <c r="G9" s="45"/>
      <c r="H9" s="45"/>
      <c r="I9" s="45"/>
      <c r="K9" s="45" t="s">
        <v>33</v>
      </c>
      <c r="L9" s="45"/>
      <c r="M9" s="45"/>
    </row>
    <row r="10" spans="1:13" x14ac:dyDescent="0.25">
      <c r="B10" s="1" t="s">
        <v>34</v>
      </c>
      <c r="C10" s="1" t="s">
        <v>35</v>
      </c>
      <c r="E10" s="17" t="s">
        <v>36</v>
      </c>
      <c r="F10" s="1" t="s">
        <v>34</v>
      </c>
      <c r="G10" s="1" t="s">
        <v>37</v>
      </c>
      <c r="H10" s="1" t="s">
        <v>35</v>
      </c>
      <c r="I10" s="1" t="s">
        <v>70</v>
      </c>
      <c r="K10" s="1" t="s">
        <v>37</v>
      </c>
      <c r="L10" s="1" t="s">
        <v>38</v>
      </c>
      <c r="M10" s="1" t="s">
        <v>39</v>
      </c>
    </row>
    <row r="11" spans="1:13" x14ac:dyDescent="0.25">
      <c r="B11" s="10" t="s">
        <v>64</v>
      </c>
      <c r="C11" s="11">
        <v>9650.24</v>
      </c>
      <c r="E11" s="16">
        <v>46240</v>
      </c>
      <c r="F11" s="10" t="s">
        <v>66</v>
      </c>
      <c r="G11" s="10" t="s">
        <v>47</v>
      </c>
      <c r="H11" s="20">
        <f>C11*10%</f>
        <v>965.024</v>
      </c>
      <c r="I11" s="23" t="s">
        <v>75</v>
      </c>
      <c r="K11" s="21" t="s">
        <v>40</v>
      </c>
      <c r="L11" s="4">
        <f t="shared" ref="L11:L18" si="0">SUMIF($G$11:$G$60,K11,$H$11:$H$60)</f>
        <v>12918.91</v>
      </c>
      <c r="M11" s="13">
        <f t="shared" ref="M11:M18" si="1">IF($L$20=0,0,L11/$L$20)</f>
        <v>0.63088550591129045</v>
      </c>
    </row>
    <row r="12" spans="1:13" x14ac:dyDescent="0.25">
      <c r="B12" s="10" t="s">
        <v>156</v>
      </c>
      <c r="C12" s="11">
        <v>7591.3</v>
      </c>
      <c r="E12" s="16"/>
      <c r="F12" s="10"/>
      <c r="G12" s="10"/>
      <c r="H12" s="20"/>
      <c r="I12" s="23"/>
      <c r="K12" s="21" t="s">
        <v>41</v>
      </c>
      <c r="L12" s="4">
        <f t="shared" si="0"/>
        <v>690.78</v>
      </c>
      <c r="M12" s="13">
        <f t="shared" si="1"/>
        <v>3.373373525888803E-2</v>
      </c>
    </row>
    <row r="13" spans="1:13" x14ac:dyDescent="0.25">
      <c r="B13" s="10"/>
      <c r="C13" s="11"/>
      <c r="E13" s="16">
        <v>46240</v>
      </c>
      <c r="F13" s="10" t="s">
        <v>69</v>
      </c>
      <c r="G13" s="10" t="s">
        <v>44</v>
      </c>
      <c r="H13" s="20">
        <v>41</v>
      </c>
      <c r="I13" s="23" t="s">
        <v>75</v>
      </c>
      <c r="K13" s="21" t="s">
        <v>42</v>
      </c>
      <c r="L13" s="4">
        <f t="shared" si="0"/>
        <v>320</v>
      </c>
      <c r="M13" s="13">
        <f t="shared" si="1"/>
        <v>1.5626965579264268E-2</v>
      </c>
    </row>
    <row r="14" spans="1:13" x14ac:dyDescent="0.25">
      <c r="B14" s="10"/>
      <c r="C14" s="11"/>
      <c r="E14" s="16">
        <v>46254</v>
      </c>
      <c r="F14" s="10" t="s">
        <v>152</v>
      </c>
      <c r="G14" s="10" t="s">
        <v>44</v>
      </c>
      <c r="H14" s="20">
        <v>8</v>
      </c>
      <c r="I14" s="23" t="s">
        <v>75</v>
      </c>
      <c r="K14" s="21" t="s">
        <v>43</v>
      </c>
      <c r="L14" s="4">
        <f t="shared" si="0"/>
        <v>0</v>
      </c>
      <c r="M14" s="13">
        <f t="shared" si="1"/>
        <v>0</v>
      </c>
    </row>
    <row r="15" spans="1:13" x14ac:dyDescent="0.25">
      <c r="B15" s="10"/>
      <c r="C15" s="11"/>
      <c r="E15" s="16">
        <v>46254</v>
      </c>
      <c r="F15" s="10" t="s">
        <v>74</v>
      </c>
      <c r="G15" s="10" t="s">
        <v>44</v>
      </c>
      <c r="H15" s="20">
        <v>745.53</v>
      </c>
      <c r="I15" s="23" t="s">
        <v>75</v>
      </c>
      <c r="K15" s="21" t="s">
        <v>44</v>
      </c>
      <c r="L15" s="4">
        <f t="shared" si="0"/>
        <v>874.53</v>
      </c>
      <c r="M15" s="13">
        <f t="shared" si="1"/>
        <v>4.2707031900106183E-2</v>
      </c>
    </row>
    <row r="16" spans="1:13" x14ac:dyDescent="0.25">
      <c r="B16" s="10"/>
      <c r="C16" s="11"/>
      <c r="E16" s="16"/>
      <c r="F16" s="10"/>
      <c r="G16" s="10"/>
      <c r="H16" s="20"/>
      <c r="I16" s="23"/>
      <c r="K16" s="21" t="s">
        <v>45</v>
      </c>
      <c r="L16" s="4">
        <f t="shared" si="0"/>
        <v>0</v>
      </c>
      <c r="M16" s="13">
        <f t="shared" si="1"/>
        <v>0</v>
      </c>
    </row>
    <row r="17" spans="2:13" x14ac:dyDescent="0.25">
      <c r="B17" s="10"/>
      <c r="C17" s="11"/>
      <c r="E17" s="16">
        <v>46243</v>
      </c>
      <c r="F17" s="10" t="s">
        <v>67</v>
      </c>
      <c r="G17" s="10" t="s">
        <v>40</v>
      </c>
      <c r="H17" s="20">
        <v>1278.52</v>
      </c>
      <c r="I17" s="23" t="s">
        <v>75</v>
      </c>
      <c r="K17" s="21" t="s">
        <v>46</v>
      </c>
      <c r="L17" s="4">
        <f t="shared" si="0"/>
        <v>120</v>
      </c>
      <c r="M17" s="13">
        <f t="shared" si="1"/>
        <v>5.8601120922241005E-3</v>
      </c>
    </row>
    <row r="18" spans="2:13" x14ac:dyDescent="0.25">
      <c r="B18" s="10"/>
      <c r="C18" s="11"/>
      <c r="E18" s="16">
        <v>46243</v>
      </c>
      <c r="F18" s="10" t="s">
        <v>68</v>
      </c>
      <c r="G18" s="10" t="s">
        <v>40</v>
      </c>
      <c r="H18" s="20">
        <v>38.590000000000003</v>
      </c>
      <c r="I18" s="23" t="s">
        <v>75</v>
      </c>
      <c r="K18" s="21" t="s">
        <v>47</v>
      </c>
      <c r="L18" s="4">
        <f>SUMIF($G$11:$G$60,K18,$H$11:$H$60)</f>
        <v>1265.0239999999999</v>
      </c>
      <c r="M18" s="13">
        <f t="shared" si="1"/>
        <v>6.1776520327947497E-2</v>
      </c>
    </row>
    <row r="19" spans="2:13" x14ac:dyDescent="0.25">
      <c r="B19" s="10"/>
      <c r="C19" s="11"/>
      <c r="E19" s="16">
        <v>46243</v>
      </c>
      <c r="F19" s="10" t="s">
        <v>153</v>
      </c>
      <c r="G19" s="10" t="s">
        <v>40</v>
      </c>
      <c r="H19" s="20">
        <v>11601.8</v>
      </c>
      <c r="I19" s="23" t="s">
        <v>75</v>
      </c>
      <c r="K19" s="21" t="s">
        <v>48</v>
      </c>
      <c r="L19" s="4">
        <f>SUMIF($G$11:$G$60,K19,$H$11:$H$60)</f>
        <v>4288.18</v>
      </c>
      <c r="M19" s="13">
        <f>IF($L$20=0,0,L19/$L$20)</f>
        <v>0.20941012893027955</v>
      </c>
    </row>
    <row r="20" spans="2:13" x14ac:dyDescent="0.25">
      <c r="B20" s="10"/>
      <c r="C20" s="11"/>
      <c r="E20" s="16"/>
      <c r="F20" s="10"/>
      <c r="G20" s="10"/>
      <c r="H20" s="20"/>
      <c r="I20" s="23"/>
      <c r="K20" s="22" t="s">
        <v>38</v>
      </c>
      <c r="L20" s="6">
        <f>SUM(L11:L19)</f>
        <v>20477.423999999999</v>
      </c>
      <c r="M20" s="14">
        <f>IF(L20=0,0,L20/L20)</f>
        <v>1</v>
      </c>
    </row>
    <row r="21" spans="2:13" x14ac:dyDescent="0.25">
      <c r="B21" s="5" t="s">
        <v>38</v>
      </c>
      <c r="C21" s="6">
        <f>SUM(C11:C20)</f>
        <v>17241.54</v>
      </c>
      <c r="E21" s="16"/>
      <c r="F21" s="10"/>
      <c r="G21" s="10"/>
      <c r="H21" s="20"/>
      <c r="I21" s="23"/>
    </row>
    <row r="22" spans="2:13" x14ac:dyDescent="0.25">
      <c r="E22" s="16">
        <v>46241</v>
      </c>
      <c r="F22" s="10" t="s">
        <v>149</v>
      </c>
      <c r="G22" s="10" t="s">
        <v>41</v>
      </c>
      <c r="H22" s="20">
        <v>690.78</v>
      </c>
      <c r="I22" s="23" t="s">
        <v>75</v>
      </c>
      <c r="K22" s="44" t="s">
        <v>49</v>
      </c>
      <c r="L22" s="44"/>
      <c r="M22" s="44"/>
    </row>
    <row r="23" spans="2:13" x14ac:dyDescent="0.25">
      <c r="E23" s="16"/>
      <c r="F23" s="10"/>
      <c r="G23" s="10"/>
      <c r="H23" s="20"/>
      <c r="I23" s="23"/>
      <c r="K23" s="44"/>
      <c r="L23" s="44"/>
      <c r="M23" s="44"/>
    </row>
    <row r="24" spans="2:13" x14ac:dyDescent="0.25">
      <c r="E24" s="16">
        <v>46243</v>
      </c>
      <c r="F24" s="10" t="s">
        <v>154</v>
      </c>
      <c r="G24" s="10" t="s">
        <v>48</v>
      </c>
      <c r="H24" s="20">
        <v>538.99</v>
      </c>
      <c r="I24" s="23" t="s">
        <v>75</v>
      </c>
    </row>
    <row r="25" spans="2:13" x14ac:dyDescent="0.25">
      <c r="E25" s="16">
        <v>46246</v>
      </c>
      <c r="F25" s="10" t="s">
        <v>155</v>
      </c>
      <c r="G25" s="10" t="s">
        <v>48</v>
      </c>
      <c r="H25" s="20">
        <f>'Agosto-Cartão'!J4</f>
        <v>3549.19</v>
      </c>
      <c r="I25" s="23" t="s">
        <v>75</v>
      </c>
      <c r="L25">
        <f>IFERROR('Agosto-Cartão'!D4,0)</f>
        <v>3549.19</v>
      </c>
    </row>
    <row r="26" spans="2:13" x14ac:dyDescent="0.25">
      <c r="E26" s="16">
        <v>46254</v>
      </c>
      <c r="F26" s="10" t="s">
        <v>76</v>
      </c>
      <c r="G26" s="10" t="s">
        <v>48</v>
      </c>
      <c r="H26" s="20">
        <v>200</v>
      </c>
      <c r="I26" s="23" t="s">
        <v>75</v>
      </c>
    </row>
    <row r="27" spans="2:13" x14ac:dyDescent="0.25">
      <c r="E27" s="16"/>
      <c r="F27" s="10"/>
      <c r="G27" s="10"/>
      <c r="H27" s="20"/>
      <c r="I27" s="23"/>
    </row>
    <row r="28" spans="2:13" x14ac:dyDescent="0.25">
      <c r="E28" s="16">
        <v>46249</v>
      </c>
      <c r="F28" s="10" t="s">
        <v>151</v>
      </c>
      <c r="G28" s="10" t="s">
        <v>46</v>
      </c>
      <c r="H28" s="20">
        <v>120</v>
      </c>
      <c r="I28" s="23" t="s">
        <v>75</v>
      </c>
    </row>
    <row r="29" spans="2:13" x14ac:dyDescent="0.25">
      <c r="E29" s="16"/>
      <c r="F29" s="10"/>
      <c r="G29" s="10"/>
      <c r="H29" s="20"/>
      <c r="I29" s="23"/>
    </row>
    <row r="30" spans="2:13" x14ac:dyDescent="0.25">
      <c r="E30" s="16">
        <v>46244</v>
      </c>
      <c r="F30" s="10" t="s">
        <v>157</v>
      </c>
      <c r="G30" s="10" t="s">
        <v>47</v>
      </c>
      <c r="H30" s="20">
        <v>300</v>
      </c>
      <c r="I30" s="23" t="s">
        <v>75</v>
      </c>
    </row>
    <row r="31" spans="2:13" x14ac:dyDescent="0.25">
      <c r="E31" s="16">
        <v>46263</v>
      </c>
      <c r="F31" s="10" t="s">
        <v>159</v>
      </c>
      <c r="G31" s="10" t="s">
        <v>44</v>
      </c>
      <c r="H31" s="20">
        <v>80</v>
      </c>
      <c r="I31" s="23" t="s">
        <v>75</v>
      </c>
    </row>
    <row r="32" spans="2:13" x14ac:dyDescent="0.25">
      <c r="E32" s="16"/>
      <c r="F32" s="10"/>
      <c r="G32" s="10"/>
      <c r="H32" s="20"/>
      <c r="I32" s="23"/>
    </row>
    <row r="33" spans="5:9" x14ac:dyDescent="0.25">
      <c r="E33" s="16">
        <v>46241</v>
      </c>
      <c r="F33" s="46" t="s">
        <v>218</v>
      </c>
      <c r="G33" s="10" t="s">
        <v>42</v>
      </c>
      <c r="H33" s="20">
        <v>320</v>
      </c>
      <c r="I33" s="23" t="s">
        <v>75</v>
      </c>
    </row>
    <row r="34" spans="5:9" x14ac:dyDescent="0.25">
      <c r="E34" s="16"/>
      <c r="F34" s="10"/>
      <c r="G34" s="10"/>
      <c r="H34" s="20"/>
      <c r="I34" s="23"/>
    </row>
    <row r="35" spans="5:9" x14ac:dyDescent="0.25">
      <c r="E35" s="16"/>
      <c r="F35" s="10"/>
      <c r="G35" s="10"/>
      <c r="H35" s="20"/>
      <c r="I35" s="23"/>
    </row>
    <row r="36" spans="5:9" x14ac:dyDescent="0.25">
      <c r="E36" s="16"/>
      <c r="F36" s="10"/>
      <c r="G36" s="10"/>
      <c r="H36" s="20"/>
      <c r="I36" s="23"/>
    </row>
    <row r="37" spans="5:9" x14ac:dyDescent="0.25">
      <c r="E37" s="16"/>
      <c r="F37" s="10"/>
      <c r="G37" s="10"/>
      <c r="H37" s="20"/>
      <c r="I37" s="23"/>
    </row>
    <row r="38" spans="5:9" x14ac:dyDescent="0.25">
      <c r="E38" s="16"/>
      <c r="F38" s="10"/>
      <c r="G38" s="10"/>
      <c r="H38" s="20"/>
      <c r="I38" s="23"/>
    </row>
    <row r="39" spans="5:9" x14ac:dyDescent="0.25">
      <c r="E39" s="16"/>
      <c r="F39" s="10"/>
      <c r="G39" s="10"/>
      <c r="H39" s="20"/>
      <c r="I39" s="23"/>
    </row>
    <row r="40" spans="5:9" x14ac:dyDescent="0.25">
      <c r="E40" s="16"/>
      <c r="F40" s="10"/>
      <c r="G40" s="10"/>
      <c r="H40" s="20"/>
      <c r="I40" s="23"/>
    </row>
    <row r="41" spans="5:9" x14ac:dyDescent="0.25">
      <c r="E41" s="16"/>
      <c r="F41" s="10"/>
      <c r="G41" s="10"/>
      <c r="H41" s="20"/>
      <c r="I41" s="23"/>
    </row>
    <row r="42" spans="5:9" x14ac:dyDescent="0.25">
      <c r="E42" s="16"/>
      <c r="F42" s="10"/>
      <c r="G42" s="10"/>
      <c r="H42" s="20"/>
      <c r="I42" s="23"/>
    </row>
    <row r="43" spans="5:9" x14ac:dyDescent="0.25">
      <c r="E43" s="16"/>
      <c r="F43" s="10"/>
      <c r="G43" s="10"/>
      <c r="H43" s="20"/>
      <c r="I43" s="23"/>
    </row>
    <row r="44" spans="5:9" x14ac:dyDescent="0.25">
      <c r="E44" s="16"/>
      <c r="F44" s="10"/>
      <c r="G44" s="10"/>
      <c r="H44" s="20"/>
      <c r="I44" s="23"/>
    </row>
    <row r="45" spans="5:9" x14ac:dyDescent="0.25">
      <c r="E45" s="16"/>
      <c r="F45" s="10"/>
      <c r="G45" s="10"/>
      <c r="H45" s="20"/>
      <c r="I45" s="23"/>
    </row>
    <row r="46" spans="5:9" x14ac:dyDescent="0.25">
      <c r="E46" s="16"/>
      <c r="F46" s="10"/>
      <c r="G46" s="10"/>
      <c r="H46" s="20"/>
      <c r="I46" s="23"/>
    </row>
    <row r="47" spans="5:9" x14ac:dyDescent="0.25">
      <c r="E47" s="16"/>
      <c r="F47" s="10"/>
      <c r="G47" s="10"/>
      <c r="H47" s="20"/>
      <c r="I47" s="23"/>
    </row>
    <row r="48" spans="5:9" x14ac:dyDescent="0.25">
      <c r="E48" s="16"/>
      <c r="F48" s="10"/>
      <c r="G48" s="10"/>
      <c r="H48" s="20"/>
      <c r="I48" s="23"/>
    </row>
    <row r="49" spans="5:10" x14ac:dyDescent="0.25">
      <c r="E49" s="16"/>
      <c r="F49" s="10"/>
      <c r="G49" s="10"/>
      <c r="H49" s="20"/>
      <c r="I49" s="23"/>
    </row>
    <row r="50" spans="5:10" x14ac:dyDescent="0.25">
      <c r="E50" s="16"/>
      <c r="F50" s="10"/>
      <c r="G50" s="10"/>
      <c r="H50" s="20"/>
      <c r="I50" s="23"/>
    </row>
    <row r="51" spans="5:10" x14ac:dyDescent="0.25">
      <c r="E51" s="16"/>
      <c r="F51" s="10"/>
      <c r="G51" s="10"/>
      <c r="H51" s="20"/>
      <c r="I51" s="23"/>
    </row>
    <row r="52" spans="5:10" x14ac:dyDescent="0.25">
      <c r="E52" s="16"/>
      <c r="F52" s="10"/>
      <c r="G52" s="10"/>
      <c r="H52" s="20"/>
      <c r="I52" s="23"/>
      <c r="J52" s="24"/>
    </row>
    <row r="53" spans="5:10" x14ac:dyDescent="0.25">
      <c r="E53" s="16"/>
      <c r="F53" s="10"/>
      <c r="G53" s="10"/>
      <c r="H53" s="20"/>
      <c r="I53" s="23"/>
      <c r="J53" s="24"/>
    </row>
    <row r="54" spans="5:10" x14ac:dyDescent="0.25">
      <c r="E54" s="16"/>
      <c r="F54" s="10"/>
      <c r="G54" s="10"/>
      <c r="H54" s="20"/>
      <c r="I54" s="23"/>
      <c r="J54" s="24"/>
    </row>
    <row r="55" spans="5:10" x14ac:dyDescent="0.25">
      <c r="E55" s="16"/>
      <c r="F55" s="10"/>
      <c r="G55" s="10"/>
      <c r="H55" s="20"/>
      <c r="I55" s="23"/>
      <c r="J55" s="24"/>
    </row>
    <row r="56" spans="5:10" x14ac:dyDescent="0.25">
      <c r="E56" s="16"/>
      <c r="F56" s="10"/>
      <c r="G56" s="10"/>
      <c r="H56" s="20"/>
      <c r="I56" s="23"/>
      <c r="J56" s="24"/>
    </row>
    <row r="57" spans="5:10" x14ac:dyDescent="0.25">
      <c r="E57" s="16"/>
      <c r="F57" s="10"/>
      <c r="G57" s="10"/>
      <c r="H57" s="20"/>
      <c r="I57" s="23"/>
      <c r="J57" s="24"/>
    </row>
    <row r="58" spans="5:10" x14ac:dyDescent="0.25">
      <c r="E58" s="16"/>
      <c r="F58" s="10"/>
      <c r="G58" s="10"/>
      <c r="H58" s="20"/>
      <c r="I58" s="23"/>
      <c r="J58" s="24"/>
    </row>
    <row r="59" spans="5:10" x14ac:dyDescent="0.25">
      <c r="E59" s="16"/>
      <c r="F59" s="10"/>
      <c r="G59" s="10"/>
      <c r="H59" s="20"/>
      <c r="I59" s="23"/>
      <c r="J59" s="24"/>
    </row>
    <row r="60" spans="5:10" x14ac:dyDescent="0.25">
      <c r="E60" s="16"/>
      <c r="F60" s="10"/>
      <c r="G60" s="10"/>
      <c r="H60" s="20"/>
      <c r="I60" s="23"/>
      <c r="J60" s="24"/>
    </row>
    <row r="61" spans="5:10" x14ac:dyDescent="0.25">
      <c r="E61" s="19" t="s">
        <v>50</v>
      </c>
      <c r="F61" s="5"/>
      <c r="G61" s="5"/>
      <c r="H61" s="6">
        <f>SUM(H11:H60)</f>
        <v>20477.423999999999</v>
      </c>
    </row>
  </sheetData>
  <mergeCells count="5">
    <mergeCell ref="B1:M1"/>
    <mergeCell ref="B9:C9"/>
    <mergeCell ref="E9:I9"/>
    <mergeCell ref="K9:M9"/>
    <mergeCell ref="K22:M23"/>
  </mergeCells>
  <conditionalFormatting sqref="I11:I51">
    <cfRule type="cellIs" dxfId="11" priority="3" operator="equal">
      <formula>"Pago"</formula>
    </cfRule>
    <cfRule type="cellIs" dxfId="10" priority="4" operator="equal">
      <formula>"Não pago"</formula>
    </cfRule>
  </conditionalFormatting>
  <conditionalFormatting sqref="I52:J60">
    <cfRule type="cellIs" dxfId="9" priority="5" operator="equal">
      <formula>"Pago"</formula>
    </cfRule>
    <cfRule type="cellIs" dxfId="8" priority="6" operator="equal">
      <formula>"Não pago"</formula>
    </cfRule>
  </conditionalFormatting>
  <dataValidations count="2">
    <dataValidation type="list" allowBlank="1" showInputMessage="1" showErrorMessage="1" sqref="J52:J60 I11 I14:I15 I17:I18 I22:I60" xr:uid="{BB2C7C99-9D26-4CF3-A04B-A0410D4986D8}">
      <formula1>"Pago,Não pago"</formula1>
    </dataValidation>
    <dataValidation type="list" allowBlank="1" error="Escolha uma categoria da lista" sqref="G11:G60" xr:uid="{F2D79B45-BD67-4C1F-9DB8-2C25796F354C}">
      <formula1>$K$11:$K$19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99CA54-6F9F-47A8-B4BC-C5EB2EAA800F}">
          <x14:formula1>
            <xm:f>Resumo!$B$6:$B$17</xm:f>
          </x14:formula1>
          <xm:sqref>C2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D249-D333-47F5-A49C-FF2D676F7F99}">
  <sheetPr>
    <tabColor theme="4"/>
  </sheetPr>
  <dimension ref="B1:K110"/>
  <sheetViews>
    <sheetView showGridLines="0" zoomScaleNormal="100" workbookViewId="0">
      <selection activeCell="K11" sqref="K11"/>
    </sheetView>
  </sheetViews>
  <sheetFormatPr defaultColWidth="8.7109375" defaultRowHeight="15" x14ac:dyDescent="0.25"/>
  <cols>
    <col min="1" max="1" width="2" customWidth="1"/>
    <col min="2" max="2" width="15.5703125" customWidth="1"/>
    <col min="3" max="3" width="15" bestFit="1" customWidth="1"/>
    <col min="4" max="4" width="30" customWidth="1"/>
    <col min="5" max="5" width="9" customWidth="1"/>
    <col min="6" max="6" width="24" customWidth="1"/>
    <col min="7" max="7" width="12" customWidth="1"/>
    <col min="8" max="8" width="2" customWidth="1"/>
    <col min="9" max="9" width="24" customWidth="1"/>
    <col min="10" max="10" width="13" customWidth="1"/>
    <col min="11" max="11" width="8" customWidth="1"/>
  </cols>
  <sheetData>
    <row r="1" spans="2:11" ht="24" customHeight="1" x14ac:dyDescent="0.25">
      <c r="B1" s="45" t="s">
        <v>51</v>
      </c>
      <c r="C1" s="45"/>
      <c r="D1" s="45"/>
      <c r="E1" s="45"/>
      <c r="F1" s="45"/>
      <c r="G1" s="45"/>
      <c r="H1" s="45"/>
      <c r="I1" s="45"/>
      <c r="J1" s="45"/>
      <c r="K1" s="45"/>
    </row>
    <row r="2" spans="2:11" x14ac:dyDescent="0.25">
      <c r="C2" s="7" t="s">
        <v>26</v>
      </c>
      <c r="D2" s="9" t="s">
        <v>14</v>
      </c>
      <c r="E2" s="8" t="s">
        <v>52</v>
      </c>
    </row>
    <row r="3" spans="2:11" x14ac:dyDescent="0.25">
      <c r="I3" s="5" t="s">
        <v>145</v>
      </c>
      <c r="J3" s="6">
        <f>SUMIFS(G:G,B:B,I3)</f>
        <v>0</v>
      </c>
    </row>
    <row r="4" spans="2:11" x14ac:dyDescent="0.25">
      <c r="C4" s="5" t="s">
        <v>53</v>
      </c>
      <c r="D4" s="6">
        <f>G110</f>
        <v>3549.19</v>
      </c>
      <c r="I4" s="5" t="s">
        <v>146</v>
      </c>
      <c r="J4" s="6">
        <f>SUMIFS(G:G,B:B,I4)</f>
        <v>3549.19</v>
      </c>
    </row>
    <row r="5" spans="2:11" x14ac:dyDescent="0.25">
      <c r="I5" s="5" t="s">
        <v>147</v>
      </c>
      <c r="J5" s="6">
        <f>SUMIFS(G:G,B:B,I5)</f>
        <v>0</v>
      </c>
    </row>
    <row r="6" spans="2:11" x14ac:dyDescent="0.25">
      <c r="I6" s="43" t="s">
        <v>148</v>
      </c>
      <c r="J6" s="6">
        <f>SUM(J3:J5)</f>
        <v>3549.19</v>
      </c>
    </row>
    <row r="8" spans="2:11" ht="16.5" x14ac:dyDescent="0.25">
      <c r="B8" s="45" t="s">
        <v>54</v>
      </c>
      <c r="C8" s="45"/>
      <c r="D8" s="45"/>
      <c r="E8" s="45"/>
      <c r="F8" s="45"/>
      <c r="G8" s="45"/>
      <c r="I8" s="45" t="s">
        <v>55</v>
      </c>
      <c r="J8" s="45"/>
      <c r="K8" s="45"/>
    </row>
    <row r="9" spans="2:11" x14ac:dyDescent="0.25">
      <c r="B9" s="1" t="s">
        <v>144</v>
      </c>
      <c r="C9" s="1" t="s">
        <v>36</v>
      </c>
      <c r="D9" s="1" t="s">
        <v>34</v>
      </c>
      <c r="E9" s="1" t="s">
        <v>56</v>
      </c>
      <c r="F9" s="1" t="s">
        <v>37</v>
      </c>
      <c r="G9" s="1" t="s">
        <v>35</v>
      </c>
      <c r="I9" s="1" t="s">
        <v>37</v>
      </c>
      <c r="J9" s="1" t="s">
        <v>38</v>
      </c>
      <c r="K9" s="1" t="s">
        <v>39</v>
      </c>
    </row>
    <row r="10" spans="2:11" x14ac:dyDescent="0.25">
      <c r="B10" s="16" t="s">
        <v>146</v>
      </c>
      <c r="C10" s="16">
        <v>46216</v>
      </c>
      <c r="D10" s="31" t="s">
        <v>110</v>
      </c>
      <c r="E10" s="32" t="s">
        <v>87</v>
      </c>
      <c r="F10" s="31" t="s">
        <v>47</v>
      </c>
      <c r="G10" s="33">
        <v>-0.04</v>
      </c>
      <c r="I10" s="40" t="s">
        <v>42</v>
      </c>
      <c r="J10" s="41">
        <f t="shared" ref="J10:J20" si="0">SUMIF($F$10:$F$109,I10,$G$10:$G$109)</f>
        <v>263.63</v>
      </c>
      <c r="K10" s="42">
        <f t="shared" ref="K10:K20" si="1">IF($J$21=0,0,J10/$J$21)</f>
        <v>7.427891997892476E-2</v>
      </c>
    </row>
    <row r="11" spans="2:11" x14ac:dyDescent="0.25">
      <c r="B11" s="16" t="s">
        <v>146</v>
      </c>
      <c r="C11" s="16">
        <v>45955</v>
      </c>
      <c r="D11" s="31" t="s">
        <v>160</v>
      </c>
      <c r="E11" s="32" t="s">
        <v>161</v>
      </c>
      <c r="F11" s="31" t="s">
        <v>47</v>
      </c>
      <c r="G11" s="33">
        <v>159.41999999999999</v>
      </c>
      <c r="I11" s="40" t="s">
        <v>57</v>
      </c>
      <c r="J11" s="41">
        <f t="shared" si="0"/>
        <v>1473.5800000000002</v>
      </c>
      <c r="K11" s="42">
        <f t="shared" si="1"/>
        <v>0.41518769071252881</v>
      </c>
    </row>
    <row r="12" spans="2:11" x14ac:dyDescent="0.25">
      <c r="B12" s="16" t="s">
        <v>146</v>
      </c>
      <c r="C12" s="16">
        <v>45959</v>
      </c>
      <c r="D12" s="31" t="s">
        <v>162</v>
      </c>
      <c r="E12" s="32" t="s">
        <v>161</v>
      </c>
      <c r="F12" s="31" t="s">
        <v>61</v>
      </c>
      <c r="G12" s="33">
        <v>143.5</v>
      </c>
      <c r="I12" s="40" t="s">
        <v>58</v>
      </c>
      <c r="J12" s="41">
        <f t="shared" si="0"/>
        <v>188.66</v>
      </c>
      <c r="K12" s="42">
        <f t="shared" si="1"/>
        <v>5.3155790476136805E-2</v>
      </c>
    </row>
    <row r="13" spans="2:11" x14ac:dyDescent="0.25">
      <c r="B13" s="16" t="s">
        <v>146</v>
      </c>
      <c r="C13" s="16">
        <v>46000</v>
      </c>
      <c r="D13" s="31" t="s">
        <v>163</v>
      </c>
      <c r="E13" s="32" t="s">
        <v>140</v>
      </c>
      <c r="F13" s="31" t="s">
        <v>45</v>
      </c>
      <c r="G13" s="33">
        <v>59.9</v>
      </c>
      <c r="I13" s="40" t="s">
        <v>59</v>
      </c>
      <c r="J13" s="41">
        <f t="shared" si="0"/>
        <v>98.55</v>
      </c>
      <c r="K13" s="42">
        <f t="shared" si="1"/>
        <v>2.7766898926233873E-2</v>
      </c>
    </row>
    <row r="14" spans="2:11" x14ac:dyDescent="0.25">
      <c r="B14" s="16" t="s">
        <v>146</v>
      </c>
      <c r="C14" s="16">
        <v>46008</v>
      </c>
      <c r="D14" s="31" t="s">
        <v>164</v>
      </c>
      <c r="E14" s="32" t="s">
        <v>140</v>
      </c>
      <c r="F14" s="31" t="s">
        <v>45</v>
      </c>
      <c r="G14" s="33">
        <v>289.27</v>
      </c>
      <c r="I14" s="40" t="s">
        <v>60</v>
      </c>
      <c r="J14" s="41">
        <f t="shared" si="0"/>
        <v>128.47999999999999</v>
      </c>
      <c r="K14" s="42">
        <f t="shared" si="1"/>
        <v>3.6199808970497488E-2</v>
      </c>
    </row>
    <row r="15" spans="2:11" x14ac:dyDescent="0.25">
      <c r="B15" s="16" t="s">
        <v>146</v>
      </c>
      <c r="C15" s="16">
        <v>46073</v>
      </c>
      <c r="D15" s="31" t="s">
        <v>165</v>
      </c>
      <c r="E15" s="32" t="s">
        <v>166</v>
      </c>
      <c r="F15" s="31" t="s">
        <v>59</v>
      </c>
      <c r="G15" s="33">
        <v>13.9</v>
      </c>
      <c r="I15" s="40" t="s">
        <v>61</v>
      </c>
      <c r="J15" s="41">
        <f t="shared" si="0"/>
        <v>245.66</v>
      </c>
      <c r="K15" s="42">
        <f t="shared" si="1"/>
        <v>6.9215792899224887E-2</v>
      </c>
    </row>
    <row r="16" spans="2:11" x14ac:dyDescent="0.25">
      <c r="B16" s="16" t="s">
        <v>146</v>
      </c>
      <c r="C16" s="16">
        <v>46133</v>
      </c>
      <c r="D16" s="31" t="s">
        <v>136</v>
      </c>
      <c r="E16" s="32" t="s">
        <v>167</v>
      </c>
      <c r="F16" s="31" t="s">
        <v>59</v>
      </c>
      <c r="G16" s="33">
        <v>24.25</v>
      </c>
      <c r="I16" s="40" t="s">
        <v>62</v>
      </c>
      <c r="J16" s="41">
        <f t="shared" si="0"/>
        <v>8</v>
      </c>
      <c r="K16" s="42">
        <f t="shared" si="1"/>
        <v>2.2540354278018366E-3</v>
      </c>
    </row>
    <row r="17" spans="2:11" x14ac:dyDescent="0.25">
      <c r="B17" s="16" t="s">
        <v>146</v>
      </c>
      <c r="C17" s="16">
        <v>46199</v>
      </c>
      <c r="D17" s="31" t="s">
        <v>168</v>
      </c>
      <c r="E17" s="32" t="s">
        <v>169</v>
      </c>
      <c r="F17" s="31" t="s">
        <v>47</v>
      </c>
      <c r="G17" s="33">
        <v>137.97999999999999</v>
      </c>
      <c r="I17" s="40" t="s">
        <v>46</v>
      </c>
      <c r="J17" s="41">
        <f t="shared" si="0"/>
        <v>96</v>
      </c>
      <c r="K17" s="42">
        <f t="shared" si="1"/>
        <v>2.7048425133622038E-2</v>
      </c>
    </row>
    <row r="18" spans="2:11" x14ac:dyDescent="0.25">
      <c r="B18" s="16" t="s">
        <v>146</v>
      </c>
      <c r="C18" s="16">
        <v>46206</v>
      </c>
      <c r="D18" s="31" t="s">
        <v>121</v>
      </c>
      <c r="E18" s="32" t="s">
        <v>170</v>
      </c>
      <c r="F18" s="31" t="s">
        <v>60</v>
      </c>
      <c r="G18" s="33">
        <v>72.5</v>
      </c>
      <c r="I18" s="40" t="s">
        <v>63</v>
      </c>
      <c r="J18" s="41">
        <f t="shared" si="0"/>
        <v>0</v>
      </c>
      <c r="K18" s="42">
        <f t="shared" si="1"/>
        <v>0</v>
      </c>
    </row>
    <row r="19" spans="2:11" x14ac:dyDescent="0.25">
      <c r="B19" s="16" t="s">
        <v>146</v>
      </c>
      <c r="C19" s="16">
        <v>46211</v>
      </c>
      <c r="D19" s="31" t="s">
        <v>171</v>
      </c>
      <c r="E19" s="32" t="s">
        <v>87</v>
      </c>
      <c r="F19" s="31" t="s">
        <v>57</v>
      </c>
      <c r="G19" s="33">
        <v>36.909999999999997</v>
      </c>
      <c r="I19" s="40" t="s">
        <v>45</v>
      </c>
      <c r="J19" s="41">
        <f t="shared" si="0"/>
        <v>459.06999999999994</v>
      </c>
      <c r="K19" s="42">
        <f t="shared" si="1"/>
        <v>0.12934500548012362</v>
      </c>
    </row>
    <row r="20" spans="2:11" x14ac:dyDescent="0.25">
      <c r="B20" s="16" t="s">
        <v>146</v>
      </c>
      <c r="C20" s="16">
        <v>46211</v>
      </c>
      <c r="D20" s="31" t="s">
        <v>88</v>
      </c>
      <c r="E20" s="32" t="s">
        <v>87</v>
      </c>
      <c r="F20" s="31" t="s">
        <v>42</v>
      </c>
      <c r="G20" s="33">
        <v>12.98</v>
      </c>
      <c r="I20" s="40" t="s">
        <v>47</v>
      </c>
      <c r="J20" s="41">
        <f t="shared" si="0"/>
        <v>587.56000000000006</v>
      </c>
      <c r="K20" s="42">
        <f t="shared" si="1"/>
        <v>0.16554763199490588</v>
      </c>
    </row>
    <row r="21" spans="2:11" x14ac:dyDescent="0.25">
      <c r="B21" s="16" t="s">
        <v>146</v>
      </c>
      <c r="C21" s="16">
        <v>46211</v>
      </c>
      <c r="D21" s="31" t="s">
        <v>172</v>
      </c>
      <c r="E21" s="32" t="s">
        <v>87</v>
      </c>
      <c r="F21" s="31" t="s">
        <v>57</v>
      </c>
      <c r="G21" s="33">
        <v>2</v>
      </c>
      <c r="I21" s="5" t="s">
        <v>38</v>
      </c>
      <c r="J21" s="6">
        <f>SUM(J10:J20)</f>
        <v>3549.19</v>
      </c>
      <c r="K21" s="14">
        <f>IF(J21=0,0,J21/J21)</f>
        <v>1</v>
      </c>
    </row>
    <row r="22" spans="2:11" x14ac:dyDescent="0.25">
      <c r="B22" s="16" t="s">
        <v>146</v>
      </c>
      <c r="C22" s="16">
        <v>46212</v>
      </c>
      <c r="D22" s="31" t="s">
        <v>173</v>
      </c>
      <c r="E22" s="32" t="s">
        <v>87</v>
      </c>
      <c r="F22" s="31" t="s">
        <v>47</v>
      </c>
      <c r="G22" s="33">
        <v>84.8</v>
      </c>
    </row>
    <row r="23" spans="2:11" x14ac:dyDescent="0.25">
      <c r="B23" s="16" t="s">
        <v>146</v>
      </c>
      <c r="C23" s="16">
        <v>46212</v>
      </c>
      <c r="D23" s="31" t="s">
        <v>174</v>
      </c>
      <c r="E23" s="32" t="s">
        <v>87</v>
      </c>
      <c r="F23" s="31" t="s">
        <v>57</v>
      </c>
      <c r="G23" s="33">
        <v>42</v>
      </c>
    </row>
    <row r="24" spans="2:11" x14ac:dyDescent="0.25">
      <c r="B24" s="16" t="s">
        <v>146</v>
      </c>
      <c r="C24" s="16">
        <v>46212</v>
      </c>
      <c r="D24" s="31" t="s">
        <v>88</v>
      </c>
      <c r="E24" s="32" t="s">
        <v>87</v>
      </c>
      <c r="F24" s="31" t="s">
        <v>42</v>
      </c>
      <c r="G24" s="33">
        <v>20.059999999999999</v>
      </c>
    </row>
    <row r="25" spans="2:11" x14ac:dyDescent="0.25">
      <c r="B25" s="16" t="s">
        <v>146</v>
      </c>
      <c r="C25" s="16">
        <v>46213</v>
      </c>
      <c r="D25" s="31" t="s">
        <v>175</v>
      </c>
      <c r="E25" s="32" t="s">
        <v>87</v>
      </c>
      <c r="F25" s="31" t="s">
        <v>57</v>
      </c>
      <c r="G25" s="33">
        <v>132.99</v>
      </c>
    </row>
    <row r="26" spans="2:11" x14ac:dyDescent="0.25">
      <c r="B26" s="16" t="s">
        <v>146</v>
      </c>
      <c r="C26" s="16">
        <v>46213</v>
      </c>
      <c r="D26" s="31" t="s">
        <v>88</v>
      </c>
      <c r="E26" s="32" t="s">
        <v>87</v>
      </c>
      <c r="F26" s="31" t="s">
        <v>42</v>
      </c>
      <c r="G26" s="33">
        <v>18.88</v>
      </c>
    </row>
    <row r="27" spans="2:11" x14ac:dyDescent="0.25">
      <c r="B27" s="16" t="s">
        <v>146</v>
      </c>
      <c r="C27" s="16">
        <v>46213</v>
      </c>
      <c r="D27" s="31" t="s">
        <v>104</v>
      </c>
      <c r="E27" s="32" t="s">
        <v>87</v>
      </c>
      <c r="F27" s="31" t="s">
        <v>47</v>
      </c>
      <c r="G27" s="33">
        <v>88.9</v>
      </c>
    </row>
    <row r="28" spans="2:11" x14ac:dyDescent="0.25">
      <c r="B28" s="16" t="s">
        <v>146</v>
      </c>
      <c r="C28" s="16">
        <v>46214</v>
      </c>
      <c r="D28" s="31" t="s">
        <v>176</v>
      </c>
      <c r="E28" s="32" t="s">
        <v>87</v>
      </c>
      <c r="F28" s="31" t="s">
        <v>57</v>
      </c>
      <c r="G28" s="33">
        <v>26</v>
      </c>
    </row>
    <row r="29" spans="2:11" x14ac:dyDescent="0.25">
      <c r="B29" s="16" t="s">
        <v>146</v>
      </c>
      <c r="C29" s="16">
        <v>46214</v>
      </c>
      <c r="D29" s="31" t="s">
        <v>177</v>
      </c>
      <c r="E29" s="32" t="s">
        <v>87</v>
      </c>
      <c r="F29" s="31" t="s">
        <v>46</v>
      </c>
      <c r="G29" s="33">
        <v>96</v>
      </c>
    </row>
    <row r="30" spans="2:11" x14ac:dyDescent="0.25">
      <c r="B30" s="16" t="s">
        <v>146</v>
      </c>
      <c r="C30" s="16">
        <v>46214</v>
      </c>
      <c r="D30" s="31" t="s">
        <v>93</v>
      </c>
      <c r="E30" s="32" t="s">
        <v>87</v>
      </c>
      <c r="F30" s="31" t="s">
        <v>58</v>
      </c>
      <c r="G30" s="33">
        <v>39.979999999999997</v>
      </c>
    </row>
    <row r="31" spans="2:11" x14ac:dyDescent="0.25">
      <c r="B31" s="16" t="s">
        <v>146</v>
      </c>
      <c r="C31" s="16">
        <v>46215</v>
      </c>
      <c r="D31" s="31" t="s">
        <v>178</v>
      </c>
      <c r="E31" s="32" t="s">
        <v>87</v>
      </c>
      <c r="F31" s="31" t="s">
        <v>61</v>
      </c>
      <c r="G31" s="33">
        <v>44.98</v>
      </c>
    </row>
    <row r="32" spans="2:11" x14ac:dyDescent="0.25">
      <c r="B32" s="16" t="s">
        <v>146</v>
      </c>
      <c r="C32" s="16">
        <v>46215</v>
      </c>
      <c r="D32" s="31" t="s">
        <v>179</v>
      </c>
      <c r="E32" s="32" t="s">
        <v>87</v>
      </c>
      <c r="F32" s="31" t="s">
        <v>57</v>
      </c>
      <c r="G32" s="33">
        <v>83.8</v>
      </c>
    </row>
    <row r="33" spans="2:7" x14ac:dyDescent="0.25">
      <c r="B33" s="16" t="s">
        <v>146</v>
      </c>
      <c r="C33" s="16">
        <v>46216</v>
      </c>
      <c r="D33" s="31" t="s">
        <v>180</v>
      </c>
      <c r="E33" s="32" t="s">
        <v>87</v>
      </c>
      <c r="F33" s="31" t="s">
        <v>57</v>
      </c>
      <c r="G33" s="33">
        <v>26.9</v>
      </c>
    </row>
    <row r="34" spans="2:7" x14ac:dyDescent="0.25">
      <c r="B34" s="16" t="s">
        <v>146</v>
      </c>
      <c r="C34" s="16">
        <v>46216</v>
      </c>
      <c r="D34" s="31" t="s">
        <v>181</v>
      </c>
      <c r="E34" s="32" t="s">
        <v>87</v>
      </c>
      <c r="F34" s="31" t="s">
        <v>42</v>
      </c>
      <c r="G34" s="33">
        <v>12.98</v>
      </c>
    </row>
    <row r="35" spans="2:7" x14ac:dyDescent="0.25">
      <c r="B35" s="16" t="s">
        <v>146</v>
      </c>
      <c r="C35" s="16">
        <v>46216</v>
      </c>
      <c r="D35" s="31" t="s">
        <v>182</v>
      </c>
      <c r="E35" s="32" t="s">
        <v>87</v>
      </c>
      <c r="F35" s="31" t="s">
        <v>58</v>
      </c>
      <c r="G35" s="33">
        <v>18.98</v>
      </c>
    </row>
    <row r="36" spans="2:7" x14ac:dyDescent="0.25">
      <c r="B36" s="16" t="s">
        <v>146</v>
      </c>
      <c r="C36" s="16">
        <v>46217</v>
      </c>
      <c r="D36" s="31" t="s">
        <v>182</v>
      </c>
      <c r="E36" s="32" t="s">
        <v>87</v>
      </c>
      <c r="F36" s="31" t="s">
        <v>58</v>
      </c>
      <c r="G36" s="33">
        <v>7.92</v>
      </c>
    </row>
    <row r="37" spans="2:7" x14ac:dyDescent="0.25">
      <c r="B37" s="16" t="s">
        <v>146</v>
      </c>
      <c r="C37" s="16">
        <v>46218</v>
      </c>
      <c r="D37" s="31" t="s">
        <v>183</v>
      </c>
      <c r="E37" s="32" t="s">
        <v>87</v>
      </c>
      <c r="F37" s="31" t="s">
        <v>59</v>
      </c>
      <c r="G37" s="33">
        <v>32.9</v>
      </c>
    </row>
    <row r="38" spans="2:7" x14ac:dyDescent="0.25">
      <c r="B38" s="16" t="s">
        <v>146</v>
      </c>
      <c r="C38" s="16">
        <v>46218</v>
      </c>
      <c r="D38" s="31" t="s">
        <v>180</v>
      </c>
      <c r="E38" s="32" t="s">
        <v>87</v>
      </c>
      <c r="F38" s="31" t="s">
        <v>57</v>
      </c>
      <c r="G38" s="33">
        <v>49.5</v>
      </c>
    </row>
    <row r="39" spans="2:7" x14ac:dyDescent="0.25">
      <c r="B39" s="16" t="s">
        <v>146</v>
      </c>
      <c r="C39" s="16">
        <v>46218</v>
      </c>
      <c r="D39" s="31" t="s">
        <v>184</v>
      </c>
      <c r="E39" s="32" t="s">
        <v>87</v>
      </c>
      <c r="F39" s="31" t="s">
        <v>57</v>
      </c>
      <c r="G39" s="33">
        <v>38.9</v>
      </c>
    </row>
    <row r="40" spans="2:7" x14ac:dyDescent="0.25">
      <c r="B40" s="16" t="s">
        <v>146</v>
      </c>
      <c r="C40" s="16">
        <v>46218</v>
      </c>
      <c r="D40" s="31" t="s">
        <v>185</v>
      </c>
      <c r="E40" s="32" t="s">
        <v>87</v>
      </c>
      <c r="F40" s="31" t="s">
        <v>57</v>
      </c>
      <c r="G40" s="33">
        <v>49.9</v>
      </c>
    </row>
    <row r="41" spans="2:7" x14ac:dyDescent="0.25">
      <c r="B41" s="16" t="s">
        <v>146</v>
      </c>
      <c r="C41" s="16">
        <v>46218</v>
      </c>
      <c r="D41" s="31" t="s">
        <v>186</v>
      </c>
      <c r="E41" s="32" t="s">
        <v>87</v>
      </c>
      <c r="F41" s="31" t="s">
        <v>60</v>
      </c>
      <c r="G41" s="33">
        <v>55.98</v>
      </c>
    </row>
    <row r="42" spans="2:7" x14ac:dyDescent="0.25">
      <c r="B42" s="16" t="s">
        <v>146</v>
      </c>
      <c r="C42" s="16">
        <v>46218</v>
      </c>
      <c r="D42" s="31" t="s">
        <v>187</v>
      </c>
      <c r="E42" s="32" t="s">
        <v>87</v>
      </c>
      <c r="F42" s="31" t="s">
        <v>62</v>
      </c>
      <c r="G42" s="33">
        <v>8</v>
      </c>
    </row>
    <row r="43" spans="2:7" x14ac:dyDescent="0.25">
      <c r="B43" s="16" t="s">
        <v>146</v>
      </c>
      <c r="C43" s="16">
        <v>46219</v>
      </c>
      <c r="D43" s="31" t="s">
        <v>188</v>
      </c>
      <c r="E43" s="32" t="s">
        <v>87</v>
      </c>
      <c r="F43" s="31" t="s">
        <v>59</v>
      </c>
      <c r="G43" s="33">
        <v>27.5</v>
      </c>
    </row>
    <row r="44" spans="2:7" x14ac:dyDescent="0.25">
      <c r="B44" s="16" t="s">
        <v>146</v>
      </c>
      <c r="C44" s="16">
        <v>46219</v>
      </c>
      <c r="D44" s="31" t="s">
        <v>189</v>
      </c>
      <c r="E44" s="32" t="s">
        <v>87</v>
      </c>
      <c r="F44" s="31" t="s">
        <v>42</v>
      </c>
      <c r="G44" s="33">
        <v>49</v>
      </c>
    </row>
    <row r="45" spans="2:7" x14ac:dyDescent="0.25">
      <c r="B45" s="16" t="s">
        <v>146</v>
      </c>
      <c r="C45" s="16">
        <v>46219</v>
      </c>
      <c r="D45" s="31" t="s">
        <v>190</v>
      </c>
      <c r="E45" s="32" t="s">
        <v>87</v>
      </c>
      <c r="F45" s="31" t="s">
        <v>42</v>
      </c>
      <c r="G45" s="33">
        <v>4.99</v>
      </c>
    </row>
    <row r="46" spans="2:7" x14ac:dyDescent="0.25">
      <c r="B46" s="16" t="s">
        <v>146</v>
      </c>
      <c r="C46" s="16">
        <v>46219</v>
      </c>
      <c r="D46" s="31" t="s">
        <v>191</v>
      </c>
      <c r="E46" s="32" t="s">
        <v>87</v>
      </c>
      <c r="F46" s="31" t="s">
        <v>42</v>
      </c>
      <c r="G46" s="33">
        <v>10</v>
      </c>
    </row>
    <row r="47" spans="2:7" x14ac:dyDescent="0.25">
      <c r="B47" s="16" t="s">
        <v>146</v>
      </c>
      <c r="C47" s="16">
        <v>46219</v>
      </c>
      <c r="D47" s="31" t="s">
        <v>192</v>
      </c>
      <c r="E47" s="32" t="s">
        <v>87</v>
      </c>
      <c r="F47" s="31" t="s">
        <v>42</v>
      </c>
      <c r="G47" s="33">
        <v>15</v>
      </c>
    </row>
    <row r="48" spans="2:7" x14ac:dyDescent="0.25">
      <c r="B48" s="16" t="s">
        <v>146</v>
      </c>
      <c r="C48" s="16">
        <v>46219</v>
      </c>
      <c r="D48" s="31" t="s">
        <v>182</v>
      </c>
      <c r="E48" s="32" t="s">
        <v>87</v>
      </c>
      <c r="F48" s="31" t="s">
        <v>58</v>
      </c>
      <c r="G48" s="33">
        <v>21.11</v>
      </c>
    </row>
    <row r="49" spans="2:7" x14ac:dyDescent="0.25">
      <c r="B49" s="16" t="s">
        <v>146</v>
      </c>
      <c r="C49" s="16">
        <v>46220</v>
      </c>
      <c r="D49" s="31" t="s">
        <v>182</v>
      </c>
      <c r="E49" s="32" t="s">
        <v>87</v>
      </c>
      <c r="F49" s="31" t="s">
        <v>58</v>
      </c>
      <c r="G49" s="33">
        <v>7.91</v>
      </c>
    </row>
    <row r="50" spans="2:7" x14ac:dyDescent="0.25">
      <c r="B50" s="16" t="s">
        <v>146</v>
      </c>
      <c r="C50" s="16">
        <v>46220</v>
      </c>
      <c r="D50" s="31" t="s">
        <v>181</v>
      </c>
      <c r="E50" s="32" t="s">
        <v>87</v>
      </c>
      <c r="F50" s="31" t="s">
        <v>42</v>
      </c>
      <c r="G50" s="33">
        <v>17.48</v>
      </c>
    </row>
    <row r="51" spans="2:7" x14ac:dyDescent="0.25">
      <c r="B51" s="16" t="s">
        <v>146</v>
      </c>
      <c r="C51" s="16">
        <v>46220</v>
      </c>
      <c r="D51" s="31" t="s">
        <v>193</v>
      </c>
      <c r="E51" s="32" t="s">
        <v>87</v>
      </c>
      <c r="F51" s="31" t="s">
        <v>57</v>
      </c>
      <c r="G51" s="33">
        <v>37</v>
      </c>
    </row>
    <row r="52" spans="2:7" x14ac:dyDescent="0.25">
      <c r="B52" s="16" t="s">
        <v>146</v>
      </c>
      <c r="C52" s="16">
        <v>46220</v>
      </c>
      <c r="D52" s="31" t="s">
        <v>193</v>
      </c>
      <c r="E52" s="32" t="s">
        <v>87</v>
      </c>
      <c r="F52" s="31" t="s">
        <v>57</v>
      </c>
      <c r="G52" s="33">
        <v>17</v>
      </c>
    </row>
    <row r="53" spans="2:7" x14ac:dyDescent="0.25">
      <c r="B53" s="16" t="s">
        <v>146</v>
      </c>
      <c r="C53" s="16">
        <v>46221</v>
      </c>
      <c r="D53" s="31" t="s">
        <v>179</v>
      </c>
      <c r="E53" s="32" t="s">
        <v>87</v>
      </c>
      <c r="F53" s="31" t="s">
        <v>57</v>
      </c>
      <c r="G53" s="33">
        <v>67.900000000000006</v>
      </c>
    </row>
    <row r="54" spans="2:7" x14ac:dyDescent="0.25">
      <c r="B54" s="16" t="s">
        <v>146</v>
      </c>
      <c r="C54" s="16">
        <v>46221</v>
      </c>
      <c r="D54" s="31" t="s">
        <v>194</v>
      </c>
      <c r="E54" s="32" t="s">
        <v>87</v>
      </c>
      <c r="F54" s="31" t="s">
        <v>57</v>
      </c>
      <c r="G54" s="33">
        <v>45.5</v>
      </c>
    </row>
    <row r="55" spans="2:7" x14ac:dyDescent="0.25">
      <c r="B55" s="16" t="s">
        <v>146</v>
      </c>
      <c r="C55" s="16">
        <v>46221</v>
      </c>
      <c r="D55" s="31" t="s">
        <v>195</v>
      </c>
      <c r="E55" s="32" t="s">
        <v>87</v>
      </c>
      <c r="F55" s="31" t="s">
        <v>47</v>
      </c>
      <c r="G55" s="33">
        <v>77.5</v>
      </c>
    </row>
    <row r="56" spans="2:7" x14ac:dyDescent="0.25">
      <c r="B56" s="16" t="s">
        <v>146</v>
      </c>
      <c r="C56" s="16">
        <v>46222</v>
      </c>
      <c r="D56" s="31" t="s">
        <v>175</v>
      </c>
      <c r="E56" s="32" t="s">
        <v>87</v>
      </c>
      <c r="F56" s="31" t="s">
        <v>57</v>
      </c>
      <c r="G56" s="33">
        <v>137.49</v>
      </c>
    </row>
    <row r="57" spans="2:7" x14ac:dyDescent="0.25">
      <c r="B57" s="16" t="s">
        <v>146</v>
      </c>
      <c r="C57" s="16">
        <v>46223</v>
      </c>
      <c r="D57" s="31" t="s">
        <v>182</v>
      </c>
      <c r="E57" s="32" t="s">
        <v>87</v>
      </c>
      <c r="F57" s="31" t="s">
        <v>58</v>
      </c>
      <c r="G57" s="33">
        <v>6.9</v>
      </c>
    </row>
    <row r="58" spans="2:7" x14ac:dyDescent="0.25">
      <c r="B58" s="16" t="s">
        <v>146</v>
      </c>
      <c r="C58" s="16">
        <v>46223</v>
      </c>
      <c r="D58" s="31" t="s">
        <v>196</v>
      </c>
      <c r="E58" s="32" t="s">
        <v>87</v>
      </c>
      <c r="F58" s="31" t="s">
        <v>42</v>
      </c>
      <c r="G58" s="33">
        <v>37.729999999999997</v>
      </c>
    </row>
    <row r="59" spans="2:7" x14ac:dyDescent="0.25">
      <c r="B59" s="16" t="s">
        <v>146</v>
      </c>
      <c r="C59" s="16">
        <v>46223</v>
      </c>
      <c r="D59" s="31" t="s">
        <v>100</v>
      </c>
      <c r="E59" s="32" t="s">
        <v>87</v>
      </c>
      <c r="F59" s="31" t="s">
        <v>58</v>
      </c>
      <c r="G59" s="33">
        <v>3</v>
      </c>
    </row>
    <row r="60" spans="2:7" x14ac:dyDescent="0.25">
      <c r="B60" s="16" t="s">
        <v>146</v>
      </c>
      <c r="C60" s="16">
        <v>46223</v>
      </c>
      <c r="D60" s="31" t="s">
        <v>182</v>
      </c>
      <c r="E60" s="32" t="s">
        <v>87</v>
      </c>
      <c r="F60" s="31" t="s">
        <v>58</v>
      </c>
      <c r="G60" s="33">
        <v>16.97</v>
      </c>
    </row>
    <row r="61" spans="2:7" x14ac:dyDescent="0.25">
      <c r="B61" s="16" t="s">
        <v>146</v>
      </c>
      <c r="C61" s="16">
        <v>46223</v>
      </c>
      <c r="D61" s="31" t="s">
        <v>197</v>
      </c>
      <c r="E61" s="32" t="s">
        <v>87</v>
      </c>
      <c r="F61" s="31" t="s">
        <v>57</v>
      </c>
      <c r="G61" s="33">
        <v>34.89</v>
      </c>
    </row>
    <row r="62" spans="2:7" x14ac:dyDescent="0.25">
      <c r="B62" s="16" t="s">
        <v>146</v>
      </c>
      <c r="C62" s="16">
        <v>46224</v>
      </c>
      <c r="D62" s="31" t="s">
        <v>198</v>
      </c>
      <c r="E62" s="32" t="s">
        <v>87</v>
      </c>
      <c r="F62" s="31" t="s">
        <v>57</v>
      </c>
      <c r="G62" s="33">
        <v>78.569999999999993</v>
      </c>
    </row>
    <row r="63" spans="2:7" x14ac:dyDescent="0.25">
      <c r="B63" s="16" t="s">
        <v>146</v>
      </c>
      <c r="C63" s="16">
        <v>46225</v>
      </c>
      <c r="D63" s="31" t="s">
        <v>199</v>
      </c>
      <c r="E63" s="32" t="s">
        <v>87</v>
      </c>
      <c r="F63" s="31" t="s">
        <v>57</v>
      </c>
      <c r="G63" s="33">
        <v>8</v>
      </c>
    </row>
    <row r="64" spans="2:7" x14ac:dyDescent="0.25">
      <c r="B64" s="16" t="s">
        <v>146</v>
      </c>
      <c r="C64" s="16">
        <v>46225</v>
      </c>
      <c r="D64" s="31" t="s">
        <v>200</v>
      </c>
      <c r="E64" s="32" t="s">
        <v>87</v>
      </c>
      <c r="F64" s="31" t="s">
        <v>42</v>
      </c>
      <c r="G64" s="33">
        <v>56.53</v>
      </c>
    </row>
    <row r="65" spans="2:7" x14ac:dyDescent="0.25">
      <c r="B65" s="16" t="s">
        <v>146</v>
      </c>
      <c r="C65" s="16">
        <v>46225</v>
      </c>
      <c r="D65" s="31" t="s">
        <v>201</v>
      </c>
      <c r="E65" s="32" t="s">
        <v>87</v>
      </c>
      <c r="F65" s="31" t="s">
        <v>57</v>
      </c>
      <c r="G65" s="33">
        <v>22</v>
      </c>
    </row>
    <row r="66" spans="2:7" x14ac:dyDescent="0.25">
      <c r="B66" s="16" t="s">
        <v>146</v>
      </c>
      <c r="C66" s="16">
        <v>46226</v>
      </c>
      <c r="D66" s="31" t="s">
        <v>202</v>
      </c>
      <c r="E66" s="32" t="s">
        <v>87</v>
      </c>
      <c r="F66" s="31" t="s">
        <v>42</v>
      </c>
      <c r="G66" s="33">
        <v>8</v>
      </c>
    </row>
    <row r="67" spans="2:7" x14ac:dyDescent="0.25">
      <c r="B67" s="16" t="s">
        <v>146</v>
      </c>
      <c r="C67" s="16">
        <v>46226</v>
      </c>
      <c r="D67" s="31" t="s">
        <v>203</v>
      </c>
      <c r="E67" s="32" t="s">
        <v>87</v>
      </c>
      <c r="F67" s="31" t="s">
        <v>57</v>
      </c>
      <c r="G67" s="33">
        <v>44.24</v>
      </c>
    </row>
    <row r="68" spans="2:7" x14ac:dyDescent="0.25">
      <c r="B68" s="16" t="s">
        <v>146</v>
      </c>
      <c r="C68" s="16">
        <v>46227</v>
      </c>
      <c r="D68" s="31" t="s">
        <v>204</v>
      </c>
      <c r="E68" s="32" t="s">
        <v>87</v>
      </c>
      <c r="F68" s="31" t="s">
        <v>57</v>
      </c>
      <c r="G68" s="33">
        <v>71.400000000000006</v>
      </c>
    </row>
    <row r="69" spans="2:7" x14ac:dyDescent="0.25">
      <c r="B69" s="16" t="s">
        <v>146</v>
      </c>
      <c r="C69" s="16">
        <v>46228</v>
      </c>
      <c r="D69" s="31" t="s">
        <v>205</v>
      </c>
      <c r="E69" s="32" t="s">
        <v>87</v>
      </c>
      <c r="F69" s="31" t="s">
        <v>57</v>
      </c>
      <c r="G69" s="33">
        <v>61.6</v>
      </c>
    </row>
    <row r="70" spans="2:7" x14ac:dyDescent="0.25">
      <c r="B70" s="16" t="s">
        <v>146</v>
      </c>
      <c r="C70" s="16">
        <v>46228</v>
      </c>
      <c r="D70" s="31" t="s">
        <v>206</v>
      </c>
      <c r="E70" s="32" t="s">
        <v>207</v>
      </c>
      <c r="F70" s="31" t="s">
        <v>45</v>
      </c>
      <c r="G70" s="33">
        <v>109.9</v>
      </c>
    </row>
    <row r="71" spans="2:7" x14ac:dyDescent="0.25">
      <c r="B71" s="16" t="s">
        <v>146</v>
      </c>
      <c r="C71" s="16">
        <v>46228</v>
      </c>
      <c r="D71" s="31" t="s">
        <v>182</v>
      </c>
      <c r="E71" s="32" t="s">
        <v>87</v>
      </c>
      <c r="F71" s="31" t="s">
        <v>58</v>
      </c>
      <c r="G71" s="33">
        <v>20.98</v>
      </c>
    </row>
    <row r="72" spans="2:7" x14ac:dyDescent="0.25">
      <c r="B72" s="16" t="s">
        <v>146</v>
      </c>
      <c r="C72" s="16">
        <v>46228</v>
      </c>
      <c r="D72" s="31" t="s">
        <v>208</v>
      </c>
      <c r="E72" s="32" t="s">
        <v>87</v>
      </c>
      <c r="F72" s="31" t="s">
        <v>58</v>
      </c>
      <c r="G72" s="33">
        <v>7</v>
      </c>
    </row>
    <row r="73" spans="2:7" x14ac:dyDescent="0.25">
      <c r="B73" s="16" t="s">
        <v>146</v>
      </c>
      <c r="C73" s="16">
        <v>46228</v>
      </c>
      <c r="D73" s="31" t="s">
        <v>209</v>
      </c>
      <c r="E73" s="32" t="s">
        <v>87</v>
      </c>
      <c r="F73" s="31" t="s">
        <v>57</v>
      </c>
      <c r="G73" s="33">
        <v>118.9</v>
      </c>
    </row>
    <row r="74" spans="2:7" x14ac:dyDescent="0.25">
      <c r="B74" s="16" t="s">
        <v>146</v>
      </c>
      <c r="C74" s="16">
        <v>46228</v>
      </c>
      <c r="D74" s="31" t="s">
        <v>210</v>
      </c>
      <c r="E74" s="32" t="s">
        <v>87</v>
      </c>
      <c r="F74" s="31" t="s">
        <v>47</v>
      </c>
      <c r="G74" s="33">
        <v>8</v>
      </c>
    </row>
    <row r="75" spans="2:7" x14ac:dyDescent="0.25">
      <c r="B75" s="16" t="s">
        <v>146</v>
      </c>
      <c r="C75" s="16">
        <v>46229</v>
      </c>
      <c r="D75" s="31" t="s">
        <v>179</v>
      </c>
      <c r="E75" s="32" t="s">
        <v>87</v>
      </c>
      <c r="F75" s="31" t="s">
        <v>57</v>
      </c>
      <c r="G75" s="33">
        <v>85.9</v>
      </c>
    </row>
    <row r="76" spans="2:7" x14ac:dyDescent="0.25">
      <c r="B76" s="16" t="s">
        <v>146</v>
      </c>
      <c r="C76" s="16">
        <v>46229</v>
      </c>
      <c r="D76" s="31" t="s">
        <v>208</v>
      </c>
      <c r="E76" s="32" t="s">
        <v>87</v>
      </c>
      <c r="F76" s="31" t="s">
        <v>58</v>
      </c>
      <c r="G76" s="33">
        <v>10</v>
      </c>
    </row>
    <row r="77" spans="2:7" x14ac:dyDescent="0.25">
      <c r="B77" s="16" t="s">
        <v>146</v>
      </c>
      <c r="C77" s="16">
        <v>46229</v>
      </c>
      <c r="D77" s="31" t="s">
        <v>124</v>
      </c>
      <c r="E77" s="32" t="s">
        <v>87</v>
      </c>
      <c r="F77" s="31" t="s">
        <v>57</v>
      </c>
      <c r="G77" s="33">
        <v>123.44</v>
      </c>
    </row>
    <row r="78" spans="2:7" x14ac:dyDescent="0.25">
      <c r="B78" s="16" t="s">
        <v>146</v>
      </c>
      <c r="C78" s="16">
        <v>46230</v>
      </c>
      <c r="D78" s="31" t="s">
        <v>211</v>
      </c>
      <c r="E78" s="32" t="s">
        <v>87</v>
      </c>
      <c r="F78" s="31" t="s">
        <v>58</v>
      </c>
      <c r="G78" s="33">
        <v>7</v>
      </c>
    </row>
    <row r="79" spans="2:7" x14ac:dyDescent="0.25">
      <c r="B79" s="16" t="s">
        <v>146</v>
      </c>
      <c r="C79" s="16">
        <v>46231</v>
      </c>
      <c r="D79" s="31" t="s">
        <v>212</v>
      </c>
      <c r="E79" s="32" t="s">
        <v>87</v>
      </c>
      <c r="F79" s="31" t="s">
        <v>58</v>
      </c>
      <c r="G79" s="33">
        <v>14</v>
      </c>
    </row>
    <row r="80" spans="2:7" x14ac:dyDescent="0.25">
      <c r="B80" s="16" t="s">
        <v>146</v>
      </c>
      <c r="C80" s="16">
        <v>46231</v>
      </c>
      <c r="D80" s="31" t="s">
        <v>213</v>
      </c>
      <c r="E80" s="32" t="s">
        <v>87</v>
      </c>
      <c r="F80" s="31" t="s">
        <v>61</v>
      </c>
      <c r="G80" s="33">
        <v>57.18</v>
      </c>
    </row>
    <row r="81" spans="2:7" x14ac:dyDescent="0.25">
      <c r="B81" s="16" t="s">
        <v>146</v>
      </c>
      <c r="C81" s="16">
        <v>46231</v>
      </c>
      <c r="D81" s="31" t="s">
        <v>179</v>
      </c>
      <c r="E81" s="32" t="s">
        <v>87</v>
      </c>
      <c r="F81" s="31" t="s">
        <v>57</v>
      </c>
      <c r="G81" s="33">
        <v>22.9</v>
      </c>
    </row>
    <row r="82" spans="2:7" x14ac:dyDescent="0.25">
      <c r="B82" s="16" t="s">
        <v>146</v>
      </c>
      <c r="C82" s="16">
        <v>46232</v>
      </c>
      <c r="D82" s="31" t="s">
        <v>182</v>
      </c>
      <c r="E82" s="32" t="s">
        <v>87</v>
      </c>
      <c r="F82" s="31" t="s">
        <v>58</v>
      </c>
      <c r="G82" s="33">
        <v>6.91</v>
      </c>
    </row>
    <row r="83" spans="2:7" x14ac:dyDescent="0.25">
      <c r="B83" s="16" t="s">
        <v>146</v>
      </c>
      <c r="C83" s="16">
        <v>46232</v>
      </c>
      <c r="D83" s="31" t="s">
        <v>214</v>
      </c>
      <c r="E83" s="32" t="s">
        <v>87</v>
      </c>
      <c r="F83" s="31" t="s">
        <v>57</v>
      </c>
      <c r="G83" s="33">
        <v>7.95</v>
      </c>
    </row>
    <row r="84" spans="2:7" x14ac:dyDescent="0.25">
      <c r="B84" s="16" t="s">
        <v>146</v>
      </c>
      <c r="C84" s="16">
        <v>46212</v>
      </c>
      <c r="D84" s="31" t="s">
        <v>215</v>
      </c>
      <c r="E84" s="32" t="s">
        <v>216</v>
      </c>
      <c r="F84" s="31" t="s">
        <v>47</v>
      </c>
      <c r="G84" s="33">
        <v>62</v>
      </c>
    </row>
    <row r="85" spans="2:7" x14ac:dyDescent="0.25">
      <c r="B85" s="16" t="s">
        <v>146</v>
      </c>
      <c r="C85" s="16">
        <v>46220</v>
      </c>
      <c r="D85" s="31" t="s">
        <v>217</v>
      </c>
      <c r="E85" s="32" t="s">
        <v>87</v>
      </c>
      <c r="F85" s="31" t="s">
        <v>47</v>
      </c>
      <c r="G85" s="33">
        <v>-31</v>
      </c>
    </row>
    <row r="86" spans="2:7" x14ac:dyDescent="0.25">
      <c r="B86" s="30"/>
      <c r="C86" s="30"/>
      <c r="D86" s="37"/>
      <c r="E86" s="38"/>
      <c r="F86" s="37"/>
      <c r="G86" s="39"/>
    </row>
    <row r="87" spans="2:7" x14ac:dyDescent="0.25">
      <c r="B87" s="30"/>
      <c r="C87" s="30"/>
      <c r="D87" s="37"/>
      <c r="E87" s="38"/>
      <c r="F87" s="37"/>
      <c r="G87" s="39"/>
    </row>
    <row r="88" spans="2:7" x14ac:dyDescent="0.25">
      <c r="B88" s="30"/>
      <c r="C88" s="30"/>
      <c r="D88" s="37"/>
      <c r="E88" s="38"/>
      <c r="F88" s="37"/>
      <c r="G88" s="39"/>
    </row>
    <row r="89" spans="2:7" x14ac:dyDescent="0.25">
      <c r="B89" s="30"/>
      <c r="C89" s="30"/>
      <c r="D89" s="37"/>
      <c r="E89" s="38"/>
      <c r="F89" s="37"/>
      <c r="G89" s="39"/>
    </row>
    <row r="90" spans="2:7" x14ac:dyDescent="0.25">
      <c r="B90" s="30"/>
      <c r="C90" s="30"/>
      <c r="D90" s="37"/>
      <c r="E90" s="38"/>
      <c r="F90" s="37"/>
      <c r="G90" s="39"/>
    </row>
    <row r="91" spans="2:7" x14ac:dyDescent="0.25">
      <c r="B91" s="30"/>
      <c r="C91" s="30"/>
      <c r="D91" s="37"/>
      <c r="E91" s="38"/>
      <c r="F91" s="37"/>
      <c r="G91" s="39"/>
    </row>
    <row r="92" spans="2:7" x14ac:dyDescent="0.25">
      <c r="B92" s="30"/>
      <c r="C92" s="30"/>
      <c r="D92" s="37"/>
      <c r="E92" s="38"/>
      <c r="F92" s="37"/>
      <c r="G92" s="39"/>
    </row>
    <row r="93" spans="2:7" x14ac:dyDescent="0.25">
      <c r="B93" s="30"/>
      <c r="C93" s="25"/>
      <c r="D93" s="26"/>
      <c r="E93" s="27"/>
      <c r="F93" s="26"/>
      <c r="G93" s="28"/>
    </row>
    <row r="94" spans="2:7" x14ac:dyDescent="0.25">
      <c r="B94" s="30"/>
      <c r="C94" s="12"/>
      <c r="D94" s="10"/>
      <c r="E94" s="15"/>
      <c r="F94" s="10"/>
      <c r="G94" s="11"/>
    </row>
    <row r="95" spans="2:7" x14ac:dyDescent="0.25">
      <c r="B95" s="30"/>
      <c r="C95" s="12"/>
      <c r="D95" s="10"/>
      <c r="E95" s="15"/>
      <c r="F95" s="10"/>
      <c r="G95" s="11"/>
    </row>
    <row r="96" spans="2:7" x14ac:dyDescent="0.25">
      <c r="B96" s="30"/>
      <c r="C96" s="12"/>
      <c r="D96" s="10"/>
      <c r="E96" s="15"/>
      <c r="F96" s="10"/>
      <c r="G96" s="11"/>
    </row>
    <row r="97" spans="2:7" x14ac:dyDescent="0.25">
      <c r="B97" s="30"/>
      <c r="C97" s="12"/>
      <c r="D97" s="10"/>
      <c r="E97" s="15"/>
      <c r="F97" s="10"/>
      <c r="G97" s="11"/>
    </row>
    <row r="98" spans="2:7" x14ac:dyDescent="0.25">
      <c r="B98" s="30"/>
      <c r="C98" s="12"/>
      <c r="D98" s="10"/>
      <c r="E98" s="15"/>
      <c r="F98" s="10"/>
      <c r="G98" s="11"/>
    </row>
    <row r="99" spans="2:7" x14ac:dyDescent="0.25">
      <c r="B99" s="30"/>
      <c r="C99" s="12"/>
      <c r="D99" s="10"/>
      <c r="E99" s="15"/>
      <c r="F99" s="10"/>
      <c r="G99" s="11"/>
    </row>
    <row r="100" spans="2:7" x14ac:dyDescent="0.25">
      <c r="B100" s="30"/>
      <c r="C100" s="12"/>
      <c r="D100" s="10"/>
      <c r="E100" s="15"/>
      <c r="F100" s="10"/>
      <c r="G100" s="11"/>
    </row>
    <row r="101" spans="2:7" x14ac:dyDescent="0.25">
      <c r="B101" s="30"/>
      <c r="C101" s="12"/>
      <c r="D101" s="10"/>
      <c r="E101" s="15"/>
      <c r="F101" s="10"/>
      <c r="G101" s="11"/>
    </row>
    <row r="102" spans="2:7" x14ac:dyDescent="0.25">
      <c r="B102" s="30"/>
      <c r="C102" s="12"/>
      <c r="D102" s="10"/>
      <c r="E102" s="15"/>
      <c r="F102" s="10"/>
      <c r="G102" s="11"/>
    </row>
    <row r="103" spans="2:7" x14ac:dyDescent="0.25">
      <c r="B103" s="30"/>
      <c r="C103" s="12"/>
      <c r="D103" s="10"/>
      <c r="E103" s="15"/>
      <c r="F103" s="10"/>
      <c r="G103" s="11"/>
    </row>
    <row r="104" spans="2:7" x14ac:dyDescent="0.25">
      <c r="B104" s="30"/>
      <c r="C104" s="12"/>
      <c r="D104" s="10"/>
      <c r="E104" s="15"/>
      <c r="F104" s="10"/>
      <c r="G104" s="11"/>
    </row>
    <row r="105" spans="2:7" x14ac:dyDescent="0.25">
      <c r="B105" s="30"/>
      <c r="C105" s="12"/>
      <c r="D105" s="10"/>
      <c r="E105" s="15"/>
      <c r="F105" s="10"/>
      <c r="G105" s="11"/>
    </row>
    <row r="106" spans="2:7" x14ac:dyDescent="0.25">
      <c r="B106" s="30"/>
      <c r="C106" s="12"/>
      <c r="D106" s="10"/>
      <c r="E106" s="15"/>
      <c r="F106" s="10"/>
      <c r="G106" s="11"/>
    </row>
    <row r="107" spans="2:7" x14ac:dyDescent="0.25">
      <c r="B107" s="30"/>
      <c r="C107" s="12"/>
      <c r="D107" s="10"/>
      <c r="E107" s="15"/>
      <c r="F107" s="10"/>
      <c r="G107" s="11"/>
    </row>
    <row r="108" spans="2:7" x14ac:dyDescent="0.25">
      <c r="B108" s="30"/>
      <c r="C108" s="12"/>
      <c r="D108" s="10"/>
      <c r="E108" s="15"/>
      <c r="F108" s="10"/>
      <c r="G108" s="11"/>
    </row>
    <row r="109" spans="2:7" x14ac:dyDescent="0.25">
      <c r="B109" s="30"/>
      <c r="C109" s="12"/>
      <c r="D109" s="10"/>
      <c r="E109" s="15"/>
      <c r="F109" s="10"/>
      <c r="G109" s="11"/>
    </row>
    <row r="110" spans="2:7" x14ac:dyDescent="0.25">
      <c r="B110" s="5" t="s">
        <v>38</v>
      </c>
      <c r="C110" s="5" t="s">
        <v>38</v>
      </c>
      <c r="D110" s="5"/>
      <c r="E110" s="5"/>
      <c r="F110" s="5"/>
      <c r="G110" s="6">
        <f>SUM(G10:G109)</f>
        <v>3549.19</v>
      </c>
    </row>
  </sheetData>
  <autoFilter ref="B9:G93" xr:uid="{00000000-0001-0000-0200-000000000000}"/>
  <mergeCells count="3">
    <mergeCell ref="B1:K1"/>
    <mergeCell ref="B8:G8"/>
    <mergeCell ref="I8:K8"/>
  </mergeCells>
  <dataValidations count="1">
    <dataValidation type="list" allowBlank="1" showInputMessage="1" showErrorMessage="1" sqref="F10:F109" xr:uid="{CE36596F-F822-489E-A317-CE086EEBB159}">
      <formula1>$I$10:$I$20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1D39F8-A08D-42F4-9E35-C52C3F8387C6}">
          <x14:formula1>
            <xm:f>Resumo!$B$6:$B$17</xm:f>
          </x14:formula1>
          <xm:sqref>D2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D209-784D-4D62-A1D7-18938EAFBB19}">
  <sheetPr>
    <tabColor theme="3"/>
  </sheetPr>
  <dimension ref="A1:M61"/>
  <sheetViews>
    <sheetView showGridLines="0" zoomScaleNormal="100" workbookViewId="0">
      <selection activeCell="L26" sqref="L26"/>
    </sheetView>
  </sheetViews>
  <sheetFormatPr defaultColWidth="8.7109375" defaultRowHeight="15" x14ac:dyDescent="0.25"/>
  <cols>
    <col min="1" max="1" width="2" customWidth="1"/>
    <col min="2" max="2" width="22" customWidth="1"/>
    <col min="3" max="3" width="14" customWidth="1"/>
    <col min="4" max="4" width="4" customWidth="1"/>
    <col min="5" max="5" width="11" style="18" customWidth="1"/>
    <col min="6" max="6" width="26" customWidth="1"/>
    <col min="7" max="7" width="25.7109375" bestFit="1" customWidth="1"/>
    <col min="8" max="8" width="12" customWidth="1"/>
    <col min="9" max="9" width="12.7109375" customWidth="1"/>
    <col min="10" max="10" width="2" customWidth="1"/>
    <col min="11" max="11" width="26" customWidth="1"/>
    <col min="12" max="12" width="13" customWidth="1"/>
    <col min="13" max="13" width="9.7109375" customWidth="1"/>
  </cols>
  <sheetData>
    <row r="1" spans="1:13" ht="24" customHeight="1" x14ac:dyDescent="0.25">
      <c r="B1" s="45" t="s">
        <v>25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x14ac:dyDescent="0.25">
      <c r="B2" s="7" t="s">
        <v>26</v>
      </c>
      <c r="C2" s="9" t="s">
        <v>15</v>
      </c>
      <c r="D2" s="8" t="s">
        <v>27</v>
      </c>
    </row>
    <row r="4" spans="1:13" x14ac:dyDescent="0.25">
      <c r="B4" s="5" t="s">
        <v>28</v>
      </c>
      <c r="C4" s="6">
        <f>C21</f>
        <v>0</v>
      </c>
      <c r="G4" s="5" t="s">
        <v>71</v>
      </c>
      <c r="H4" s="6">
        <f>SUMIF($I$11:$I$60,"Pago",$H$11:$H$60)</f>
        <v>0</v>
      </c>
    </row>
    <row r="5" spans="1:13" x14ac:dyDescent="0.25">
      <c r="B5" s="5" t="s">
        <v>29</v>
      </c>
      <c r="C5" s="6">
        <f>L20</f>
        <v>0</v>
      </c>
      <c r="G5" s="5" t="s">
        <v>72</v>
      </c>
      <c r="H5" s="6">
        <f>SUMIF($I$11:$I$60,"Não pago",$H$11:$H$60)</f>
        <v>0</v>
      </c>
    </row>
    <row r="6" spans="1:13" x14ac:dyDescent="0.25">
      <c r="B6" s="5" t="s">
        <v>30</v>
      </c>
      <c r="C6" s="6">
        <f>C4-C5</f>
        <v>0</v>
      </c>
    </row>
    <row r="8" spans="1:13" x14ac:dyDescent="0.25">
      <c r="A8" s="18"/>
      <c r="B8" s="18"/>
      <c r="C8" s="18"/>
      <c r="D8" s="18"/>
    </row>
    <row r="9" spans="1:13" ht="16.5" x14ac:dyDescent="0.25">
      <c r="B9" s="45" t="s">
        <v>31</v>
      </c>
      <c r="C9" s="45"/>
      <c r="E9" s="45" t="s">
        <v>32</v>
      </c>
      <c r="F9" s="45"/>
      <c r="G9" s="45"/>
      <c r="H9" s="45"/>
      <c r="I9" s="45"/>
      <c r="K9" s="45" t="s">
        <v>33</v>
      </c>
      <c r="L9" s="45"/>
      <c r="M9" s="45"/>
    </row>
    <row r="10" spans="1:13" x14ac:dyDescent="0.25">
      <c r="B10" s="1" t="s">
        <v>34</v>
      </c>
      <c r="C10" s="1" t="s">
        <v>35</v>
      </c>
      <c r="E10" s="17" t="s">
        <v>36</v>
      </c>
      <c r="F10" s="1" t="s">
        <v>34</v>
      </c>
      <c r="G10" s="1" t="s">
        <v>37</v>
      </c>
      <c r="H10" s="1" t="s">
        <v>35</v>
      </c>
      <c r="I10" s="1" t="s">
        <v>70</v>
      </c>
      <c r="K10" s="1" t="s">
        <v>37</v>
      </c>
      <c r="L10" s="1" t="s">
        <v>38</v>
      </c>
      <c r="M10" s="1" t="s">
        <v>39</v>
      </c>
    </row>
    <row r="11" spans="1:13" x14ac:dyDescent="0.25">
      <c r="B11" s="10"/>
      <c r="C11" s="11"/>
      <c r="E11" s="16"/>
      <c r="F11" s="10"/>
      <c r="G11" s="10"/>
      <c r="H11" s="20"/>
      <c r="I11" s="23"/>
      <c r="K11" s="21" t="s">
        <v>40</v>
      </c>
      <c r="L11" s="4">
        <f t="shared" ref="L11:L18" si="0">SUMIF($G$11:$G$60,K11,$H$11:$H$60)</f>
        <v>0</v>
      </c>
      <c r="M11" s="13">
        <f t="shared" ref="M11:M18" si="1">IF($L$20=0,0,L11/$L$20)</f>
        <v>0</v>
      </c>
    </row>
    <row r="12" spans="1:13" x14ac:dyDescent="0.25">
      <c r="B12" s="10"/>
      <c r="C12" s="11"/>
      <c r="E12" s="16"/>
      <c r="F12" s="10"/>
      <c r="G12" s="10"/>
      <c r="H12" s="20"/>
      <c r="I12" s="23"/>
      <c r="K12" s="21" t="s">
        <v>41</v>
      </c>
      <c r="L12" s="4">
        <f t="shared" si="0"/>
        <v>0</v>
      </c>
      <c r="M12" s="13">
        <f t="shared" si="1"/>
        <v>0</v>
      </c>
    </row>
    <row r="13" spans="1:13" x14ac:dyDescent="0.25">
      <c r="B13" s="10"/>
      <c r="C13" s="11"/>
      <c r="E13" s="16"/>
      <c r="F13" s="10"/>
      <c r="G13" s="10"/>
      <c r="H13" s="20"/>
      <c r="I13" s="23"/>
      <c r="K13" s="21" t="s">
        <v>42</v>
      </c>
      <c r="L13" s="4">
        <f t="shared" si="0"/>
        <v>0</v>
      </c>
      <c r="M13" s="13">
        <f t="shared" si="1"/>
        <v>0</v>
      </c>
    </row>
    <row r="14" spans="1:13" x14ac:dyDescent="0.25">
      <c r="B14" s="10"/>
      <c r="C14" s="11"/>
      <c r="E14" s="16"/>
      <c r="F14" s="10"/>
      <c r="G14" s="10"/>
      <c r="H14" s="20"/>
      <c r="I14" s="23"/>
      <c r="K14" s="21" t="s">
        <v>43</v>
      </c>
      <c r="L14" s="4">
        <f t="shared" si="0"/>
        <v>0</v>
      </c>
      <c r="M14" s="13">
        <f t="shared" si="1"/>
        <v>0</v>
      </c>
    </row>
    <row r="15" spans="1:13" x14ac:dyDescent="0.25">
      <c r="B15" s="10"/>
      <c r="C15" s="11"/>
      <c r="E15" s="16"/>
      <c r="F15" s="10"/>
      <c r="G15" s="10"/>
      <c r="H15" s="20"/>
      <c r="I15" s="23"/>
      <c r="K15" s="21" t="s">
        <v>44</v>
      </c>
      <c r="L15" s="4">
        <f t="shared" si="0"/>
        <v>0</v>
      </c>
      <c r="M15" s="13">
        <f t="shared" si="1"/>
        <v>0</v>
      </c>
    </row>
    <row r="16" spans="1:13" x14ac:dyDescent="0.25">
      <c r="B16" s="10"/>
      <c r="C16" s="11"/>
      <c r="E16" s="16"/>
      <c r="F16" s="10"/>
      <c r="G16" s="10"/>
      <c r="H16" s="20"/>
      <c r="I16" s="23"/>
      <c r="K16" s="21" t="s">
        <v>45</v>
      </c>
      <c r="L16" s="4">
        <f t="shared" si="0"/>
        <v>0</v>
      </c>
      <c r="M16" s="13">
        <f t="shared" si="1"/>
        <v>0</v>
      </c>
    </row>
    <row r="17" spans="2:13" x14ac:dyDescent="0.25">
      <c r="B17" s="10"/>
      <c r="C17" s="11"/>
      <c r="E17" s="16"/>
      <c r="F17" s="10"/>
      <c r="G17" s="10"/>
      <c r="H17" s="20"/>
      <c r="I17" s="23"/>
      <c r="K17" s="21" t="s">
        <v>46</v>
      </c>
      <c r="L17" s="4">
        <f t="shared" si="0"/>
        <v>0</v>
      </c>
      <c r="M17" s="13">
        <f t="shared" si="1"/>
        <v>0</v>
      </c>
    </row>
    <row r="18" spans="2:13" x14ac:dyDescent="0.25">
      <c r="B18" s="10"/>
      <c r="C18" s="11"/>
      <c r="E18" s="16"/>
      <c r="F18" s="10"/>
      <c r="G18" s="10"/>
      <c r="H18" s="20"/>
      <c r="I18" s="23"/>
      <c r="K18" s="21" t="s">
        <v>47</v>
      </c>
      <c r="L18" s="4">
        <f t="shared" si="0"/>
        <v>0</v>
      </c>
      <c r="M18" s="13">
        <f t="shared" si="1"/>
        <v>0</v>
      </c>
    </row>
    <row r="19" spans="2:13" x14ac:dyDescent="0.25">
      <c r="B19" s="10"/>
      <c r="C19" s="11"/>
      <c r="E19" s="16"/>
      <c r="F19" s="10"/>
      <c r="G19" s="10"/>
      <c r="H19" s="20"/>
      <c r="I19" s="23"/>
      <c r="K19" s="21" t="s">
        <v>48</v>
      </c>
      <c r="L19" s="3">
        <f>IFERROR('Setembro-Cartão'!D4,0)</f>
        <v>0</v>
      </c>
      <c r="M19" s="13">
        <f>IF($L$20=0,0,L19/$L$20)</f>
        <v>0</v>
      </c>
    </row>
    <row r="20" spans="2:13" x14ac:dyDescent="0.25">
      <c r="B20" s="10"/>
      <c r="C20" s="11"/>
      <c r="E20" s="16"/>
      <c r="F20" s="10"/>
      <c r="G20" s="10"/>
      <c r="H20" s="20"/>
      <c r="I20" s="23"/>
      <c r="K20" s="22" t="s">
        <v>38</v>
      </c>
      <c r="L20" s="6">
        <f>SUM(L11:L19)</f>
        <v>0</v>
      </c>
      <c r="M20" s="14">
        <f>IF(L20=0,0,L20/L20)</f>
        <v>0</v>
      </c>
    </row>
    <row r="21" spans="2:13" x14ac:dyDescent="0.25">
      <c r="B21" s="5" t="s">
        <v>38</v>
      </c>
      <c r="C21" s="6">
        <f>SUM(C11:C20)</f>
        <v>0</v>
      </c>
      <c r="E21" s="16"/>
      <c r="F21" s="10"/>
      <c r="G21" s="10"/>
      <c r="H21" s="20"/>
      <c r="I21" s="23"/>
    </row>
    <row r="22" spans="2:13" x14ac:dyDescent="0.25">
      <c r="E22" s="16"/>
      <c r="F22" s="10"/>
      <c r="G22" s="10"/>
      <c r="H22" s="20"/>
      <c r="I22" s="23"/>
      <c r="K22" s="44" t="s">
        <v>49</v>
      </c>
      <c r="L22" s="44"/>
      <c r="M22" s="44"/>
    </row>
    <row r="23" spans="2:13" x14ac:dyDescent="0.25">
      <c r="E23" s="16"/>
      <c r="F23" s="10"/>
      <c r="G23" s="10"/>
      <c r="H23" s="20"/>
      <c r="I23" s="23"/>
      <c r="K23" s="44"/>
      <c r="L23" s="44"/>
      <c r="M23" s="44"/>
    </row>
    <row r="24" spans="2:13" x14ac:dyDescent="0.25">
      <c r="E24" s="16"/>
      <c r="F24" s="10"/>
      <c r="G24" s="10"/>
      <c r="H24" s="20"/>
      <c r="I24" s="23"/>
    </row>
    <row r="25" spans="2:13" x14ac:dyDescent="0.25">
      <c r="E25" s="16"/>
      <c r="F25" s="10"/>
      <c r="G25" s="10"/>
      <c r="H25" s="20"/>
      <c r="I25" s="23"/>
    </row>
    <row r="26" spans="2:13" x14ac:dyDescent="0.25">
      <c r="E26" s="16"/>
      <c r="F26" s="10"/>
      <c r="G26" s="10"/>
      <c r="H26" s="20"/>
      <c r="I26" s="23"/>
    </row>
    <row r="27" spans="2:13" x14ac:dyDescent="0.25">
      <c r="E27" s="16"/>
      <c r="F27" s="10"/>
      <c r="G27" s="10"/>
      <c r="H27" s="20"/>
      <c r="I27" s="23"/>
    </row>
    <row r="28" spans="2:13" x14ac:dyDescent="0.25">
      <c r="E28" s="16"/>
      <c r="F28" s="10"/>
      <c r="G28" s="10"/>
      <c r="H28" s="20"/>
      <c r="I28" s="23"/>
    </row>
    <row r="29" spans="2:13" x14ac:dyDescent="0.25">
      <c r="E29" s="16"/>
      <c r="F29" s="10"/>
      <c r="G29" s="10"/>
      <c r="H29" s="20"/>
      <c r="I29" s="23"/>
    </row>
    <row r="30" spans="2:13" x14ac:dyDescent="0.25">
      <c r="E30" s="16"/>
      <c r="F30" s="10"/>
      <c r="G30" s="10"/>
      <c r="H30" s="20"/>
      <c r="I30" s="23"/>
    </row>
    <row r="31" spans="2:13" x14ac:dyDescent="0.25">
      <c r="E31" s="16"/>
      <c r="F31" s="10"/>
      <c r="G31" s="10"/>
      <c r="H31" s="20"/>
      <c r="I31" s="23"/>
    </row>
    <row r="32" spans="2:13" x14ac:dyDescent="0.25">
      <c r="E32" s="16"/>
      <c r="F32" s="10"/>
      <c r="G32" s="10"/>
      <c r="H32" s="20"/>
      <c r="I32" s="23"/>
    </row>
    <row r="33" spans="5:9" x14ac:dyDescent="0.25">
      <c r="E33" s="16"/>
      <c r="F33" s="10"/>
      <c r="G33" s="10"/>
      <c r="H33" s="20"/>
      <c r="I33" s="23"/>
    </row>
    <row r="34" spans="5:9" x14ac:dyDescent="0.25">
      <c r="E34" s="16"/>
      <c r="F34" s="10"/>
      <c r="G34" s="10"/>
      <c r="H34" s="20"/>
      <c r="I34" s="23"/>
    </row>
    <row r="35" spans="5:9" x14ac:dyDescent="0.25">
      <c r="E35" s="16"/>
      <c r="F35" s="10"/>
      <c r="G35" s="10"/>
      <c r="H35" s="20"/>
      <c r="I35" s="23"/>
    </row>
    <row r="36" spans="5:9" x14ac:dyDescent="0.25">
      <c r="E36" s="16"/>
      <c r="F36" s="10"/>
      <c r="G36" s="10"/>
      <c r="H36" s="20"/>
      <c r="I36" s="23"/>
    </row>
    <row r="37" spans="5:9" x14ac:dyDescent="0.25">
      <c r="E37" s="16"/>
      <c r="F37" s="10"/>
      <c r="G37" s="10"/>
      <c r="H37" s="20"/>
      <c r="I37" s="23"/>
    </row>
    <row r="38" spans="5:9" x14ac:dyDescent="0.25">
      <c r="E38" s="16"/>
      <c r="F38" s="10"/>
      <c r="G38" s="10"/>
      <c r="H38" s="20"/>
      <c r="I38" s="23"/>
    </row>
    <row r="39" spans="5:9" x14ac:dyDescent="0.25">
      <c r="E39" s="16"/>
      <c r="F39" s="10"/>
      <c r="G39" s="10"/>
      <c r="H39" s="20"/>
      <c r="I39" s="23"/>
    </row>
    <row r="40" spans="5:9" x14ac:dyDescent="0.25">
      <c r="E40" s="16"/>
      <c r="F40" s="10"/>
      <c r="G40" s="10"/>
      <c r="H40" s="20"/>
      <c r="I40" s="23"/>
    </row>
    <row r="41" spans="5:9" x14ac:dyDescent="0.25">
      <c r="E41" s="16"/>
      <c r="F41" s="10"/>
      <c r="G41" s="10"/>
      <c r="H41" s="20"/>
      <c r="I41" s="23"/>
    </row>
    <row r="42" spans="5:9" x14ac:dyDescent="0.25">
      <c r="E42" s="16"/>
      <c r="F42" s="10"/>
      <c r="G42" s="10"/>
      <c r="H42" s="20"/>
      <c r="I42" s="23"/>
    </row>
    <row r="43" spans="5:9" x14ac:dyDescent="0.25">
      <c r="E43" s="16"/>
      <c r="F43" s="10"/>
      <c r="G43" s="10"/>
      <c r="H43" s="20"/>
      <c r="I43" s="23"/>
    </row>
    <row r="44" spans="5:9" x14ac:dyDescent="0.25">
      <c r="E44" s="16"/>
      <c r="F44" s="10"/>
      <c r="G44" s="10"/>
      <c r="H44" s="20"/>
      <c r="I44" s="23"/>
    </row>
    <row r="45" spans="5:9" x14ac:dyDescent="0.25">
      <c r="E45" s="16"/>
      <c r="F45" s="10"/>
      <c r="G45" s="10"/>
      <c r="H45" s="20"/>
      <c r="I45" s="23"/>
    </row>
    <row r="46" spans="5:9" x14ac:dyDescent="0.25">
      <c r="E46" s="16"/>
      <c r="F46" s="10"/>
      <c r="G46" s="10"/>
      <c r="H46" s="20"/>
      <c r="I46" s="23"/>
    </row>
    <row r="47" spans="5:9" x14ac:dyDescent="0.25">
      <c r="E47" s="16"/>
      <c r="F47" s="10"/>
      <c r="G47" s="10"/>
      <c r="H47" s="20"/>
      <c r="I47" s="23"/>
    </row>
    <row r="48" spans="5:9" x14ac:dyDescent="0.25">
      <c r="E48" s="16"/>
      <c r="F48" s="10"/>
      <c r="G48" s="10"/>
      <c r="H48" s="20"/>
      <c r="I48" s="23"/>
    </row>
    <row r="49" spans="5:10" x14ac:dyDescent="0.25">
      <c r="E49" s="16"/>
      <c r="F49" s="10"/>
      <c r="G49" s="10"/>
      <c r="H49" s="20"/>
      <c r="I49" s="23"/>
    </row>
    <row r="50" spans="5:10" x14ac:dyDescent="0.25">
      <c r="E50" s="16"/>
      <c r="F50" s="10"/>
      <c r="G50" s="10"/>
      <c r="H50" s="20"/>
      <c r="I50" s="23"/>
    </row>
    <row r="51" spans="5:10" x14ac:dyDescent="0.25">
      <c r="E51" s="16"/>
      <c r="F51" s="10"/>
      <c r="G51" s="10"/>
      <c r="H51" s="20"/>
      <c r="I51" s="23"/>
    </row>
    <row r="52" spans="5:10" x14ac:dyDescent="0.25">
      <c r="E52" s="16"/>
      <c r="F52" s="10"/>
      <c r="G52" s="10"/>
      <c r="H52" s="20"/>
      <c r="I52" s="23"/>
      <c r="J52" s="24"/>
    </row>
    <row r="53" spans="5:10" x14ac:dyDescent="0.25">
      <c r="E53" s="16"/>
      <c r="F53" s="10"/>
      <c r="G53" s="10"/>
      <c r="H53" s="20"/>
      <c r="I53" s="23"/>
      <c r="J53" s="24"/>
    </row>
    <row r="54" spans="5:10" x14ac:dyDescent="0.25">
      <c r="E54" s="16"/>
      <c r="F54" s="10"/>
      <c r="G54" s="10"/>
      <c r="H54" s="20"/>
      <c r="I54" s="23"/>
      <c r="J54" s="24"/>
    </row>
    <row r="55" spans="5:10" x14ac:dyDescent="0.25">
      <c r="E55" s="16"/>
      <c r="F55" s="10"/>
      <c r="G55" s="10"/>
      <c r="H55" s="20"/>
      <c r="I55" s="23"/>
      <c r="J55" s="24"/>
    </row>
    <row r="56" spans="5:10" x14ac:dyDescent="0.25">
      <c r="E56" s="16"/>
      <c r="F56" s="10"/>
      <c r="G56" s="10"/>
      <c r="H56" s="20"/>
      <c r="I56" s="23"/>
      <c r="J56" s="24"/>
    </row>
    <row r="57" spans="5:10" x14ac:dyDescent="0.25">
      <c r="E57" s="16"/>
      <c r="F57" s="10"/>
      <c r="G57" s="10"/>
      <c r="H57" s="20"/>
      <c r="I57" s="23"/>
      <c r="J57" s="24"/>
    </row>
    <row r="58" spans="5:10" x14ac:dyDescent="0.25">
      <c r="E58" s="16"/>
      <c r="F58" s="10"/>
      <c r="G58" s="10"/>
      <c r="H58" s="20"/>
      <c r="I58" s="23"/>
      <c r="J58" s="24"/>
    </row>
    <row r="59" spans="5:10" x14ac:dyDescent="0.25">
      <c r="E59" s="16"/>
      <c r="F59" s="10"/>
      <c r="G59" s="10"/>
      <c r="H59" s="20"/>
      <c r="I59" s="23"/>
      <c r="J59" s="24"/>
    </row>
    <row r="60" spans="5:10" x14ac:dyDescent="0.25">
      <c r="E60" s="16"/>
      <c r="F60" s="10"/>
      <c r="G60" s="10"/>
      <c r="H60" s="20"/>
      <c r="I60" s="23"/>
      <c r="J60" s="24"/>
    </row>
    <row r="61" spans="5:10" x14ac:dyDescent="0.25">
      <c r="E61" s="19" t="s">
        <v>50</v>
      </c>
      <c r="F61" s="5"/>
      <c r="G61" s="5"/>
      <c r="H61" s="6">
        <f>SUM(H11:H60)</f>
        <v>0</v>
      </c>
    </row>
  </sheetData>
  <mergeCells count="5">
    <mergeCell ref="B1:M1"/>
    <mergeCell ref="B9:C9"/>
    <mergeCell ref="E9:I9"/>
    <mergeCell ref="K9:M9"/>
    <mergeCell ref="K22:M23"/>
  </mergeCells>
  <conditionalFormatting sqref="I11:I51 I52:J60">
    <cfRule type="cellIs" dxfId="7" priority="1" operator="equal">
      <formula>"Pago"</formula>
    </cfRule>
    <cfRule type="cellIs" dxfId="6" priority="2" operator="equal">
      <formula>"Não pago"</formula>
    </cfRule>
  </conditionalFormatting>
  <dataValidations count="2">
    <dataValidation type="list" allowBlank="1" showInputMessage="1" showErrorMessage="1" sqref="J52:J60 I11:I60" xr:uid="{C5BA2689-12FF-49B9-A648-6B8206856E97}">
      <formula1>"Pago,Não pago"</formula1>
    </dataValidation>
    <dataValidation type="list" allowBlank="1" error="Escolha uma categoria da lista" sqref="G11:G60" xr:uid="{D9D5C293-907C-41E0-875B-7623049DD9FA}">
      <formula1>$K$11:$K$18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73642F-3BD8-407B-B90C-CDD8098C32B6}">
          <x14:formula1>
            <xm:f>Resumo!$B$6:$B$17</xm:f>
          </x14:formula1>
          <xm:sqref>C2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796C-A6AA-40D4-88BE-45F4C6BA160B}">
  <sheetPr>
    <tabColor theme="3"/>
  </sheetPr>
  <dimension ref="B1:K110"/>
  <sheetViews>
    <sheetView showGridLines="0" zoomScaleNormal="100" workbookViewId="0">
      <selection activeCell="L26" sqref="L26"/>
    </sheetView>
  </sheetViews>
  <sheetFormatPr defaultColWidth="8.7109375" defaultRowHeight="15" x14ac:dyDescent="0.25"/>
  <cols>
    <col min="1" max="1" width="2" customWidth="1"/>
    <col min="2" max="2" width="15.5703125" customWidth="1"/>
    <col min="3" max="3" width="15" bestFit="1" customWidth="1"/>
    <col min="4" max="4" width="30" customWidth="1"/>
    <col min="5" max="5" width="9" customWidth="1"/>
    <col min="6" max="6" width="24" customWidth="1"/>
    <col min="7" max="7" width="12" customWidth="1"/>
    <col min="8" max="8" width="2" customWidth="1"/>
    <col min="9" max="9" width="24" customWidth="1"/>
    <col min="10" max="10" width="13" customWidth="1"/>
    <col min="11" max="11" width="8" customWidth="1"/>
  </cols>
  <sheetData>
    <row r="1" spans="2:11" ht="24" customHeight="1" x14ac:dyDescent="0.25">
      <c r="B1" s="45" t="s">
        <v>51</v>
      </c>
      <c r="C1" s="45"/>
      <c r="D1" s="45"/>
      <c r="E1" s="45"/>
      <c r="F1" s="45"/>
      <c r="G1" s="45"/>
      <c r="H1" s="45"/>
      <c r="I1" s="45"/>
      <c r="J1" s="45"/>
      <c r="K1" s="45"/>
    </row>
    <row r="2" spans="2:11" x14ac:dyDescent="0.25">
      <c r="C2" s="7" t="s">
        <v>26</v>
      </c>
      <c r="D2" s="9" t="s">
        <v>15</v>
      </c>
      <c r="E2" s="8" t="s">
        <v>52</v>
      </c>
    </row>
    <row r="3" spans="2:11" x14ac:dyDescent="0.25">
      <c r="I3" s="5" t="s">
        <v>145</v>
      </c>
      <c r="J3" s="6">
        <f>SUMIFS(G:G,B:B,I3)</f>
        <v>0</v>
      </c>
    </row>
    <row r="4" spans="2:11" x14ac:dyDescent="0.25">
      <c r="C4" s="5" t="s">
        <v>53</v>
      </c>
      <c r="D4" s="6">
        <f>G110</f>
        <v>0</v>
      </c>
      <c r="I4" s="5" t="s">
        <v>146</v>
      </c>
      <c r="J4" s="6">
        <f>SUMIFS(G:G,B:B,I4)</f>
        <v>0</v>
      </c>
    </row>
    <row r="5" spans="2:11" x14ac:dyDescent="0.25">
      <c r="I5" s="5" t="s">
        <v>147</v>
      </c>
      <c r="J5" s="6">
        <f>SUMIFS(G:G,B:B,I5)</f>
        <v>0</v>
      </c>
    </row>
    <row r="6" spans="2:11" x14ac:dyDescent="0.25">
      <c r="I6" s="43" t="s">
        <v>148</v>
      </c>
      <c r="J6" s="6">
        <f>SUM(J3:J5)</f>
        <v>0</v>
      </c>
    </row>
    <row r="8" spans="2:11" ht="16.5" x14ac:dyDescent="0.25">
      <c r="B8" s="45" t="s">
        <v>54</v>
      </c>
      <c r="C8" s="45"/>
      <c r="D8" s="45"/>
      <c r="E8" s="45"/>
      <c r="F8" s="45"/>
      <c r="G8" s="45"/>
      <c r="I8" s="45" t="s">
        <v>55</v>
      </c>
      <c r="J8" s="45"/>
      <c r="K8" s="45"/>
    </row>
    <row r="9" spans="2:11" x14ac:dyDescent="0.25">
      <c r="B9" s="1" t="s">
        <v>144</v>
      </c>
      <c r="C9" s="1" t="s">
        <v>36</v>
      </c>
      <c r="D9" s="1" t="s">
        <v>34</v>
      </c>
      <c r="E9" s="1" t="s">
        <v>56</v>
      </c>
      <c r="F9" s="1" t="s">
        <v>37</v>
      </c>
      <c r="G9" s="1" t="s">
        <v>35</v>
      </c>
      <c r="I9" s="1" t="s">
        <v>37</v>
      </c>
      <c r="J9" s="1" t="s">
        <v>38</v>
      </c>
      <c r="K9" s="1" t="s">
        <v>39</v>
      </c>
    </row>
    <row r="10" spans="2:11" x14ac:dyDescent="0.25">
      <c r="B10" s="16"/>
      <c r="C10" s="16"/>
      <c r="D10" s="31"/>
      <c r="E10" s="32"/>
      <c r="F10" s="31"/>
      <c r="G10" s="33"/>
      <c r="I10" s="40" t="s">
        <v>42</v>
      </c>
      <c r="J10" s="41">
        <f t="shared" ref="J10:J20" si="0">SUMIF($F$10:$F$109,I10,$G$10:$G$109)</f>
        <v>0</v>
      </c>
      <c r="K10" s="42">
        <f t="shared" ref="K10:K20" si="1">IF($J$21=0,0,J10/$J$21)</f>
        <v>0</v>
      </c>
    </row>
    <row r="11" spans="2:11" x14ac:dyDescent="0.25">
      <c r="B11" s="16"/>
      <c r="C11" s="16"/>
      <c r="D11" s="31"/>
      <c r="E11" s="32"/>
      <c r="F11" s="31"/>
      <c r="G11" s="33"/>
      <c r="I11" s="40" t="s">
        <v>57</v>
      </c>
      <c r="J11" s="41">
        <f t="shared" si="0"/>
        <v>0</v>
      </c>
      <c r="K11" s="42">
        <f t="shared" si="1"/>
        <v>0</v>
      </c>
    </row>
    <row r="12" spans="2:11" x14ac:dyDescent="0.25">
      <c r="B12" s="16"/>
      <c r="C12" s="16"/>
      <c r="D12" s="31"/>
      <c r="E12" s="32"/>
      <c r="F12" s="31"/>
      <c r="G12" s="33"/>
      <c r="I12" s="40" t="s">
        <v>58</v>
      </c>
      <c r="J12" s="41">
        <f t="shared" si="0"/>
        <v>0</v>
      </c>
      <c r="K12" s="42">
        <f t="shared" si="1"/>
        <v>0</v>
      </c>
    </row>
    <row r="13" spans="2:11" x14ac:dyDescent="0.25">
      <c r="B13" s="16"/>
      <c r="C13" s="16"/>
      <c r="D13" s="31"/>
      <c r="E13" s="32"/>
      <c r="F13" s="31"/>
      <c r="G13" s="33"/>
      <c r="I13" s="40" t="s">
        <v>59</v>
      </c>
      <c r="J13" s="41">
        <f t="shared" si="0"/>
        <v>0</v>
      </c>
      <c r="K13" s="42">
        <f t="shared" si="1"/>
        <v>0</v>
      </c>
    </row>
    <row r="14" spans="2:11" x14ac:dyDescent="0.25">
      <c r="B14" s="29"/>
      <c r="C14" s="29"/>
      <c r="D14" s="34"/>
      <c r="E14" s="35"/>
      <c r="F14" s="34"/>
      <c r="G14" s="36"/>
      <c r="I14" s="40" t="s">
        <v>60</v>
      </c>
      <c r="J14" s="41">
        <f t="shared" si="0"/>
        <v>0</v>
      </c>
      <c r="K14" s="42">
        <f t="shared" si="1"/>
        <v>0</v>
      </c>
    </row>
    <row r="15" spans="2:11" x14ac:dyDescent="0.25">
      <c r="B15" s="30"/>
      <c r="C15" s="30"/>
      <c r="D15" s="37"/>
      <c r="E15" s="38"/>
      <c r="F15" s="37"/>
      <c r="G15" s="39"/>
      <c r="I15" s="40" t="s">
        <v>61</v>
      </c>
      <c r="J15" s="41">
        <f t="shared" si="0"/>
        <v>0</v>
      </c>
      <c r="K15" s="42">
        <f t="shared" si="1"/>
        <v>0</v>
      </c>
    </row>
    <row r="16" spans="2:11" x14ac:dyDescent="0.25">
      <c r="B16" s="30"/>
      <c r="C16" s="30"/>
      <c r="D16" s="37"/>
      <c r="E16" s="38"/>
      <c r="F16" s="37"/>
      <c r="G16" s="39"/>
      <c r="I16" s="40" t="s">
        <v>62</v>
      </c>
      <c r="J16" s="41">
        <f t="shared" si="0"/>
        <v>0</v>
      </c>
      <c r="K16" s="42">
        <f t="shared" si="1"/>
        <v>0</v>
      </c>
    </row>
    <row r="17" spans="2:11" x14ac:dyDescent="0.25">
      <c r="B17" s="30"/>
      <c r="C17" s="30"/>
      <c r="D17" s="37"/>
      <c r="E17" s="38"/>
      <c r="F17" s="37"/>
      <c r="G17" s="39"/>
      <c r="I17" s="40" t="s">
        <v>46</v>
      </c>
      <c r="J17" s="41">
        <f t="shared" si="0"/>
        <v>0</v>
      </c>
      <c r="K17" s="42">
        <f t="shared" si="1"/>
        <v>0</v>
      </c>
    </row>
    <row r="18" spans="2:11" x14ac:dyDescent="0.25">
      <c r="B18" s="30"/>
      <c r="C18" s="30"/>
      <c r="D18" s="37"/>
      <c r="E18" s="38"/>
      <c r="F18" s="37"/>
      <c r="G18" s="39"/>
      <c r="I18" s="40" t="s">
        <v>63</v>
      </c>
      <c r="J18" s="41">
        <f t="shared" si="0"/>
        <v>0</v>
      </c>
      <c r="K18" s="42">
        <f t="shared" si="1"/>
        <v>0</v>
      </c>
    </row>
    <row r="19" spans="2:11" x14ac:dyDescent="0.25">
      <c r="B19" s="30"/>
      <c r="C19" s="30"/>
      <c r="D19" s="37"/>
      <c r="E19" s="38"/>
      <c r="F19" s="37"/>
      <c r="G19" s="39"/>
      <c r="I19" s="40" t="s">
        <v>45</v>
      </c>
      <c r="J19" s="41">
        <f t="shared" si="0"/>
        <v>0</v>
      </c>
      <c r="K19" s="42">
        <f t="shared" si="1"/>
        <v>0</v>
      </c>
    </row>
    <row r="20" spans="2:11" x14ac:dyDescent="0.25">
      <c r="B20" s="30"/>
      <c r="C20" s="30"/>
      <c r="D20" s="37"/>
      <c r="E20" s="38"/>
      <c r="F20" s="37"/>
      <c r="G20" s="39"/>
      <c r="I20" s="40" t="s">
        <v>47</v>
      </c>
      <c r="J20" s="41">
        <f t="shared" si="0"/>
        <v>0</v>
      </c>
      <c r="K20" s="42">
        <f t="shared" si="1"/>
        <v>0</v>
      </c>
    </row>
    <row r="21" spans="2:11" x14ac:dyDescent="0.25">
      <c r="B21" s="30"/>
      <c r="C21" s="30"/>
      <c r="D21" s="37"/>
      <c r="E21" s="38"/>
      <c r="F21" s="37"/>
      <c r="G21" s="39"/>
      <c r="I21" s="5" t="s">
        <v>38</v>
      </c>
      <c r="J21" s="6">
        <f>SUM(J10:J20)</f>
        <v>0</v>
      </c>
      <c r="K21" s="14">
        <f>IF(J21=0,0,J21/J21)</f>
        <v>0</v>
      </c>
    </row>
    <row r="22" spans="2:11" x14ac:dyDescent="0.25">
      <c r="B22" s="30"/>
      <c r="C22" s="30"/>
      <c r="D22" s="37"/>
      <c r="E22" s="38"/>
      <c r="F22" s="37"/>
      <c r="G22" s="39"/>
    </row>
    <row r="23" spans="2:11" x14ac:dyDescent="0.25">
      <c r="B23" s="30"/>
      <c r="C23" s="30"/>
      <c r="D23" s="37"/>
      <c r="E23" s="38"/>
      <c r="F23" s="37"/>
      <c r="G23" s="39"/>
    </row>
    <row r="24" spans="2:11" x14ac:dyDescent="0.25">
      <c r="B24" s="30"/>
      <c r="C24" s="30"/>
      <c r="D24" s="37"/>
      <c r="E24" s="38"/>
      <c r="F24" s="37"/>
      <c r="G24" s="39"/>
    </row>
    <row r="25" spans="2:11" x14ac:dyDescent="0.25">
      <c r="B25" s="30"/>
      <c r="C25" s="30"/>
      <c r="D25" s="37"/>
      <c r="E25" s="38"/>
      <c r="F25" s="37"/>
      <c r="G25" s="39"/>
    </row>
    <row r="26" spans="2:11" x14ac:dyDescent="0.25">
      <c r="B26" s="30"/>
      <c r="C26" s="30"/>
      <c r="D26" s="37"/>
      <c r="E26" s="38"/>
      <c r="F26" s="37"/>
      <c r="G26" s="39"/>
    </row>
    <row r="27" spans="2:11" x14ac:dyDescent="0.25">
      <c r="B27" s="30"/>
      <c r="C27" s="30"/>
      <c r="D27" s="37"/>
      <c r="E27" s="38"/>
      <c r="F27" s="37"/>
      <c r="G27" s="39"/>
    </row>
    <row r="28" spans="2:11" x14ac:dyDescent="0.25">
      <c r="B28" s="30"/>
      <c r="C28" s="30"/>
      <c r="D28" s="37"/>
      <c r="E28" s="38"/>
      <c r="F28" s="37"/>
      <c r="G28" s="39"/>
    </row>
    <row r="29" spans="2:11" x14ac:dyDescent="0.25">
      <c r="B29" s="30"/>
      <c r="C29" s="30"/>
      <c r="D29" s="37"/>
      <c r="E29" s="38"/>
      <c r="F29" s="37"/>
      <c r="G29" s="39"/>
    </row>
    <row r="30" spans="2:11" x14ac:dyDescent="0.25">
      <c r="B30" s="30"/>
      <c r="C30" s="30"/>
      <c r="D30" s="37"/>
      <c r="E30" s="38"/>
      <c r="F30" s="37"/>
      <c r="G30" s="39"/>
    </row>
    <row r="31" spans="2:11" x14ac:dyDescent="0.25">
      <c r="B31" s="30"/>
      <c r="C31" s="30"/>
      <c r="D31" s="37"/>
      <c r="E31" s="38"/>
      <c r="F31" s="37"/>
      <c r="G31" s="39"/>
    </row>
    <row r="32" spans="2:11" x14ac:dyDescent="0.25">
      <c r="B32" s="30"/>
      <c r="C32" s="30"/>
      <c r="D32" s="37"/>
      <c r="E32" s="38"/>
      <c r="F32" s="37"/>
      <c r="G32" s="39"/>
    </row>
    <row r="33" spans="2:7" x14ac:dyDescent="0.25">
      <c r="B33" s="30"/>
      <c r="C33" s="30"/>
      <c r="D33" s="37"/>
      <c r="E33" s="38"/>
      <c r="F33" s="37"/>
      <c r="G33" s="39"/>
    </row>
    <row r="34" spans="2:7" x14ac:dyDescent="0.25">
      <c r="B34" s="30"/>
      <c r="C34" s="30"/>
      <c r="D34" s="37"/>
      <c r="E34" s="38"/>
      <c r="F34" s="37"/>
      <c r="G34" s="39"/>
    </row>
    <row r="35" spans="2:7" x14ac:dyDescent="0.25">
      <c r="B35" s="30"/>
      <c r="C35" s="30"/>
      <c r="D35" s="37"/>
      <c r="E35" s="38"/>
      <c r="F35" s="37"/>
      <c r="G35" s="39"/>
    </row>
    <row r="36" spans="2:7" x14ac:dyDescent="0.25">
      <c r="B36" s="30"/>
      <c r="C36" s="30"/>
      <c r="D36" s="37"/>
      <c r="E36" s="38"/>
      <c r="F36" s="37"/>
      <c r="G36" s="39"/>
    </row>
    <row r="37" spans="2:7" x14ac:dyDescent="0.25">
      <c r="B37" s="30"/>
      <c r="C37" s="30"/>
      <c r="D37" s="37"/>
      <c r="E37" s="38"/>
      <c r="F37" s="37"/>
      <c r="G37" s="39"/>
    </row>
    <row r="38" spans="2:7" x14ac:dyDescent="0.25">
      <c r="B38" s="30"/>
      <c r="C38" s="30"/>
      <c r="D38" s="37"/>
      <c r="E38" s="38"/>
      <c r="F38" s="37"/>
      <c r="G38" s="39"/>
    </row>
    <row r="39" spans="2:7" x14ac:dyDescent="0.25">
      <c r="B39" s="30"/>
      <c r="C39" s="30"/>
      <c r="D39" s="37"/>
      <c r="E39" s="38"/>
      <c r="F39" s="37"/>
      <c r="G39" s="39"/>
    </row>
    <row r="40" spans="2:7" x14ac:dyDescent="0.25">
      <c r="B40" s="30"/>
      <c r="C40" s="30"/>
      <c r="D40" s="37"/>
      <c r="E40" s="38"/>
      <c r="F40" s="37"/>
      <c r="G40" s="39"/>
    </row>
    <row r="41" spans="2:7" x14ac:dyDescent="0.25">
      <c r="B41" s="30"/>
      <c r="C41" s="30"/>
      <c r="D41" s="37"/>
      <c r="E41" s="38"/>
      <c r="F41" s="37"/>
      <c r="G41" s="39"/>
    </row>
    <row r="42" spans="2:7" x14ac:dyDescent="0.25">
      <c r="B42" s="30"/>
      <c r="C42" s="30"/>
      <c r="D42" s="37"/>
      <c r="E42" s="38"/>
      <c r="F42" s="37"/>
      <c r="G42" s="39"/>
    </row>
    <row r="43" spans="2:7" x14ac:dyDescent="0.25">
      <c r="B43" s="30"/>
      <c r="C43" s="30"/>
      <c r="D43" s="37"/>
      <c r="E43" s="38"/>
      <c r="F43" s="37"/>
      <c r="G43" s="39"/>
    </row>
    <row r="44" spans="2:7" x14ac:dyDescent="0.25">
      <c r="B44" s="30"/>
      <c r="C44" s="30"/>
      <c r="D44" s="37"/>
      <c r="E44" s="38"/>
      <c r="F44" s="37"/>
      <c r="G44" s="39"/>
    </row>
    <row r="45" spans="2:7" x14ac:dyDescent="0.25">
      <c r="B45" s="30"/>
      <c r="C45" s="30"/>
      <c r="D45" s="37"/>
      <c r="E45" s="38"/>
      <c r="F45" s="37"/>
      <c r="G45" s="39"/>
    </row>
    <row r="46" spans="2:7" x14ac:dyDescent="0.25">
      <c r="B46" s="30"/>
      <c r="C46" s="30"/>
      <c r="D46" s="37"/>
      <c r="E46" s="38"/>
      <c r="F46" s="37"/>
      <c r="G46" s="39"/>
    </row>
    <row r="47" spans="2:7" x14ac:dyDescent="0.25">
      <c r="B47" s="30"/>
      <c r="C47" s="30"/>
      <c r="D47" s="37"/>
      <c r="E47" s="38"/>
      <c r="F47" s="37"/>
      <c r="G47" s="39"/>
    </row>
    <row r="48" spans="2:7" x14ac:dyDescent="0.25">
      <c r="B48" s="30"/>
      <c r="C48" s="30"/>
      <c r="D48" s="37"/>
      <c r="E48" s="38"/>
      <c r="F48" s="37"/>
      <c r="G48" s="39"/>
    </row>
    <row r="49" spans="2:7" x14ac:dyDescent="0.25">
      <c r="B49" s="30"/>
      <c r="C49" s="30"/>
      <c r="D49" s="37"/>
      <c r="E49" s="38"/>
      <c r="F49" s="37"/>
      <c r="G49" s="39"/>
    </row>
    <row r="50" spans="2:7" x14ac:dyDescent="0.25">
      <c r="B50" s="30"/>
      <c r="C50" s="30"/>
      <c r="D50" s="37"/>
      <c r="E50" s="38"/>
      <c r="F50" s="37"/>
      <c r="G50" s="39"/>
    </row>
    <row r="51" spans="2:7" x14ac:dyDescent="0.25">
      <c r="B51" s="30"/>
      <c r="C51" s="30"/>
      <c r="D51" s="37"/>
      <c r="E51" s="38"/>
      <c r="F51" s="37"/>
      <c r="G51" s="39"/>
    </row>
    <row r="52" spans="2:7" x14ac:dyDescent="0.25">
      <c r="B52" s="30"/>
      <c r="C52" s="30"/>
      <c r="D52" s="37"/>
      <c r="E52" s="38"/>
      <c r="F52" s="37"/>
      <c r="G52" s="39"/>
    </row>
    <row r="53" spans="2:7" x14ac:dyDescent="0.25">
      <c r="B53" s="30"/>
      <c r="C53" s="30"/>
      <c r="D53" s="37"/>
      <c r="E53" s="38"/>
      <c r="F53" s="37"/>
      <c r="G53" s="39"/>
    </row>
    <row r="54" spans="2:7" x14ac:dyDescent="0.25">
      <c r="B54" s="30"/>
      <c r="C54" s="30"/>
      <c r="D54" s="37"/>
      <c r="E54" s="38"/>
      <c r="F54" s="37"/>
      <c r="G54" s="39"/>
    </row>
    <row r="55" spans="2:7" x14ac:dyDescent="0.25">
      <c r="B55" s="30"/>
      <c r="C55" s="30"/>
      <c r="D55" s="37"/>
      <c r="E55" s="38"/>
      <c r="F55" s="37"/>
      <c r="G55" s="39"/>
    </row>
    <row r="56" spans="2:7" x14ac:dyDescent="0.25">
      <c r="B56" s="30"/>
      <c r="C56" s="30"/>
      <c r="D56" s="37"/>
      <c r="E56" s="38"/>
      <c r="F56" s="37"/>
      <c r="G56" s="39"/>
    </row>
    <row r="57" spans="2:7" x14ac:dyDescent="0.25">
      <c r="B57" s="30"/>
      <c r="C57" s="30"/>
      <c r="D57" s="37"/>
      <c r="E57" s="38"/>
      <c r="F57" s="37"/>
      <c r="G57" s="39"/>
    </row>
    <row r="58" spans="2:7" x14ac:dyDescent="0.25">
      <c r="B58" s="30"/>
      <c r="C58" s="30"/>
      <c r="D58" s="37"/>
      <c r="E58" s="38"/>
      <c r="F58" s="37"/>
      <c r="G58" s="39"/>
    </row>
    <row r="59" spans="2:7" x14ac:dyDescent="0.25">
      <c r="B59" s="30"/>
      <c r="C59" s="30"/>
      <c r="D59" s="37"/>
      <c r="E59" s="38"/>
      <c r="F59" s="37"/>
      <c r="G59" s="39"/>
    </row>
    <row r="60" spans="2:7" x14ac:dyDescent="0.25">
      <c r="B60" s="30"/>
      <c r="C60" s="30"/>
      <c r="D60" s="37"/>
      <c r="E60" s="38"/>
      <c r="F60" s="37"/>
      <c r="G60" s="39"/>
    </row>
    <row r="61" spans="2:7" x14ac:dyDescent="0.25">
      <c r="B61" s="30"/>
      <c r="C61" s="30"/>
      <c r="D61" s="37"/>
      <c r="E61" s="38"/>
      <c r="F61" s="37"/>
      <c r="G61" s="39"/>
    </row>
    <row r="62" spans="2:7" x14ac:dyDescent="0.25">
      <c r="B62" s="30"/>
      <c r="C62" s="30"/>
      <c r="D62" s="37"/>
      <c r="E62" s="38"/>
      <c r="F62" s="37"/>
      <c r="G62" s="39"/>
    </row>
    <row r="63" spans="2:7" x14ac:dyDescent="0.25">
      <c r="B63" s="30"/>
      <c r="C63" s="30"/>
      <c r="D63" s="37"/>
      <c r="E63" s="38"/>
      <c r="F63" s="37"/>
      <c r="G63" s="39"/>
    </row>
    <row r="64" spans="2:7" x14ac:dyDescent="0.25">
      <c r="B64" s="30"/>
      <c r="C64" s="30"/>
      <c r="D64" s="37"/>
      <c r="E64" s="38"/>
      <c r="F64" s="37"/>
      <c r="G64" s="39"/>
    </row>
    <row r="65" spans="2:7" x14ac:dyDescent="0.25">
      <c r="B65" s="30"/>
      <c r="C65" s="30"/>
      <c r="D65" s="37"/>
      <c r="E65" s="38"/>
      <c r="F65" s="37"/>
      <c r="G65" s="39"/>
    </row>
    <row r="66" spans="2:7" x14ac:dyDescent="0.25">
      <c r="B66" s="30"/>
      <c r="C66" s="30"/>
      <c r="D66" s="37"/>
      <c r="E66" s="38"/>
      <c r="F66" s="37"/>
      <c r="G66" s="39"/>
    </row>
    <row r="67" spans="2:7" x14ac:dyDescent="0.25">
      <c r="B67" s="30"/>
      <c r="C67" s="30"/>
      <c r="D67" s="37"/>
      <c r="E67" s="38"/>
      <c r="F67" s="37"/>
      <c r="G67" s="39"/>
    </row>
    <row r="68" spans="2:7" x14ac:dyDescent="0.25">
      <c r="B68" s="30"/>
      <c r="C68" s="30"/>
      <c r="D68" s="37"/>
      <c r="E68" s="38"/>
      <c r="F68" s="37"/>
      <c r="G68" s="39"/>
    </row>
    <row r="69" spans="2:7" x14ac:dyDescent="0.25">
      <c r="B69" s="30"/>
      <c r="C69" s="30"/>
      <c r="D69" s="37"/>
      <c r="E69" s="38"/>
      <c r="F69" s="37"/>
      <c r="G69" s="39"/>
    </row>
    <row r="70" spans="2:7" x14ac:dyDescent="0.25">
      <c r="B70" s="30"/>
      <c r="C70" s="30"/>
      <c r="D70" s="37"/>
      <c r="E70" s="38"/>
      <c r="F70" s="37"/>
      <c r="G70" s="39"/>
    </row>
    <row r="71" spans="2:7" x14ac:dyDescent="0.25">
      <c r="B71" s="30"/>
      <c r="C71" s="30"/>
      <c r="D71" s="37"/>
      <c r="E71" s="38"/>
      <c r="F71" s="37"/>
      <c r="G71" s="39"/>
    </row>
    <row r="72" spans="2:7" x14ac:dyDescent="0.25">
      <c r="B72" s="30"/>
      <c r="C72" s="30"/>
      <c r="D72" s="37"/>
      <c r="E72" s="38"/>
      <c r="F72" s="37"/>
      <c r="G72" s="39"/>
    </row>
    <row r="73" spans="2:7" x14ac:dyDescent="0.25">
      <c r="B73" s="30"/>
      <c r="C73" s="30"/>
      <c r="D73" s="37"/>
      <c r="E73" s="38"/>
      <c r="F73" s="37"/>
      <c r="G73" s="39"/>
    </row>
    <row r="74" spans="2:7" x14ac:dyDescent="0.25">
      <c r="B74" s="30"/>
      <c r="C74" s="30"/>
      <c r="D74" s="37"/>
      <c r="E74" s="38"/>
      <c r="F74" s="37"/>
      <c r="G74" s="39"/>
    </row>
    <row r="75" spans="2:7" x14ac:dyDescent="0.25">
      <c r="B75" s="30"/>
      <c r="C75" s="30"/>
      <c r="D75" s="37"/>
      <c r="E75" s="38"/>
      <c r="F75" s="37"/>
      <c r="G75" s="39"/>
    </row>
    <row r="76" spans="2:7" x14ac:dyDescent="0.25">
      <c r="B76" s="30"/>
      <c r="C76" s="30"/>
      <c r="D76" s="37"/>
      <c r="E76" s="38"/>
      <c r="F76" s="37"/>
      <c r="G76" s="39"/>
    </row>
    <row r="77" spans="2:7" x14ac:dyDescent="0.25">
      <c r="B77" s="30"/>
      <c r="C77" s="30"/>
      <c r="D77" s="37"/>
      <c r="E77" s="38"/>
      <c r="F77" s="37"/>
      <c r="G77" s="39"/>
    </row>
    <row r="78" spans="2:7" x14ac:dyDescent="0.25">
      <c r="B78" s="30"/>
      <c r="C78" s="30"/>
      <c r="D78" s="37"/>
      <c r="E78" s="38"/>
      <c r="F78" s="37"/>
      <c r="G78" s="39"/>
    </row>
    <row r="79" spans="2:7" x14ac:dyDescent="0.25">
      <c r="B79" s="30"/>
      <c r="C79" s="30"/>
      <c r="D79" s="37"/>
      <c r="E79" s="38"/>
      <c r="F79" s="37"/>
      <c r="G79" s="39"/>
    </row>
    <row r="80" spans="2:7" x14ac:dyDescent="0.25">
      <c r="B80" s="30"/>
      <c r="C80" s="30"/>
      <c r="D80" s="37"/>
      <c r="E80" s="38"/>
      <c r="F80" s="37"/>
      <c r="G80" s="39"/>
    </row>
    <row r="81" spans="2:7" x14ac:dyDescent="0.25">
      <c r="B81" s="30"/>
      <c r="C81" s="30"/>
      <c r="D81" s="37"/>
      <c r="E81" s="38"/>
      <c r="F81" s="37"/>
      <c r="G81" s="39"/>
    </row>
    <row r="82" spans="2:7" x14ac:dyDescent="0.25">
      <c r="B82" s="30"/>
      <c r="C82" s="30"/>
      <c r="D82" s="37"/>
      <c r="E82" s="38"/>
      <c r="F82" s="37"/>
      <c r="G82" s="39"/>
    </row>
    <row r="83" spans="2:7" x14ac:dyDescent="0.25">
      <c r="B83" s="30"/>
      <c r="C83" s="30"/>
      <c r="D83" s="37"/>
      <c r="E83" s="38"/>
      <c r="F83" s="37"/>
      <c r="G83" s="39"/>
    </row>
    <row r="84" spans="2:7" x14ac:dyDescent="0.25">
      <c r="B84" s="30"/>
      <c r="C84" s="30"/>
      <c r="D84" s="37"/>
      <c r="E84" s="38"/>
      <c r="F84" s="37"/>
      <c r="G84" s="39"/>
    </row>
    <row r="85" spans="2:7" x14ac:dyDescent="0.25">
      <c r="B85" s="30"/>
      <c r="C85" s="30"/>
      <c r="D85" s="37"/>
      <c r="E85" s="38"/>
      <c r="F85" s="37"/>
      <c r="G85" s="39"/>
    </row>
    <row r="86" spans="2:7" x14ac:dyDescent="0.25">
      <c r="B86" s="30"/>
      <c r="C86" s="30"/>
      <c r="D86" s="37"/>
      <c r="E86" s="38"/>
      <c r="F86" s="37"/>
      <c r="G86" s="39"/>
    </row>
    <row r="87" spans="2:7" x14ac:dyDescent="0.25">
      <c r="B87" s="30"/>
      <c r="C87" s="30"/>
      <c r="D87" s="37"/>
      <c r="E87" s="38"/>
      <c r="F87" s="37"/>
      <c r="G87" s="39"/>
    </row>
    <row r="88" spans="2:7" x14ac:dyDescent="0.25">
      <c r="B88" s="30"/>
      <c r="C88" s="30"/>
      <c r="D88" s="37"/>
      <c r="E88" s="38"/>
      <c r="F88" s="37"/>
      <c r="G88" s="39"/>
    </row>
    <row r="89" spans="2:7" x14ac:dyDescent="0.25">
      <c r="B89" s="30"/>
      <c r="C89" s="30"/>
      <c r="D89" s="37"/>
      <c r="E89" s="38"/>
      <c r="F89" s="37"/>
      <c r="G89" s="39"/>
    </row>
    <row r="90" spans="2:7" x14ac:dyDescent="0.25">
      <c r="B90" s="30"/>
      <c r="C90" s="30"/>
      <c r="D90" s="37"/>
      <c r="E90" s="38"/>
      <c r="F90" s="37"/>
      <c r="G90" s="39"/>
    </row>
    <row r="91" spans="2:7" x14ac:dyDescent="0.25">
      <c r="B91" s="30"/>
      <c r="C91" s="30"/>
      <c r="D91" s="37"/>
      <c r="E91" s="38"/>
      <c r="F91" s="37"/>
      <c r="G91" s="39"/>
    </row>
    <row r="92" spans="2:7" x14ac:dyDescent="0.25">
      <c r="B92" s="30"/>
      <c r="C92" s="30"/>
      <c r="D92" s="37"/>
      <c r="E92" s="38"/>
      <c r="F92" s="37"/>
      <c r="G92" s="39"/>
    </row>
    <row r="93" spans="2:7" x14ac:dyDescent="0.25">
      <c r="B93" s="30"/>
      <c r="C93" s="25"/>
      <c r="D93" s="26"/>
      <c r="E93" s="27"/>
      <c r="F93" s="26"/>
      <c r="G93" s="28"/>
    </row>
    <row r="94" spans="2:7" x14ac:dyDescent="0.25">
      <c r="B94" s="30"/>
      <c r="C94" s="12"/>
      <c r="D94" s="10"/>
      <c r="E94" s="15"/>
      <c r="F94" s="10"/>
      <c r="G94" s="11"/>
    </row>
    <row r="95" spans="2:7" x14ac:dyDescent="0.25">
      <c r="B95" s="30"/>
      <c r="C95" s="12"/>
      <c r="D95" s="10"/>
      <c r="E95" s="15"/>
      <c r="F95" s="10"/>
      <c r="G95" s="11"/>
    </row>
    <row r="96" spans="2:7" x14ac:dyDescent="0.25">
      <c r="B96" s="30"/>
      <c r="C96" s="12"/>
      <c r="D96" s="10"/>
      <c r="E96" s="15"/>
      <c r="F96" s="10"/>
      <c r="G96" s="11"/>
    </row>
    <row r="97" spans="2:7" x14ac:dyDescent="0.25">
      <c r="B97" s="30"/>
      <c r="C97" s="12"/>
      <c r="D97" s="10"/>
      <c r="E97" s="15"/>
      <c r="F97" s="10"/>
      <c r="G97" s="11"/>
    </row>
    <row r="98" spans="2:7" x14ac:dyDescent="0.25">
      <c r="B98" s="30"/>
      <c r="C98" s="12"/>
      <c r="D98" s="10"/>
      <c r="E98" s="15"/>
      <c r="F98" s="10"/>
      <c r="G98" s="11"/>
    </row>
    <row r="99" spans="2:7" x14ac:dyDescent="0.25">
      <c r="B99" s="30"/>
      <c r="C99" s="12"/>
      <c r="D99" s="10"/>
      <c r="E99" s="15"/>
      <c r="F99" s="10"/>
      <c r="G99" s="11"/>
    </row>
    <row r="100" spans="2:7" x14ac:dyDescent="0.25">
      <c r="B100" s="30"/>
      <c r="C100" s="12"/>
      <c r="D100" s="10"/>
      <c r="E100" s="15"/>
      <c r="F100" s="10"/>
      <c r="G100" s="11"/>
    </row>
    <row r="101" spans="2:7" x14ac:dyDescent="0.25">
      <c r="B101" s="30"/>
      <c r="C101" s="12"/>
      <c r="D101" s="10"/>
      <c r="E101" s="15"/>
      <c r="F101" s="10"/>
      <c r="G101" s="11"/>
    </row>
    <row r="102" spans="2:7" x14ac:dyDescent="0.25">
      <c r="B102" s="30"/>
      <c r="C102" s="12"/>
      <c r="D102" s="10"/>
      <c r="E102" s="15"/>
      <c r="F102" s="10"/>
      <c r="G102" s="11"/>
    </row>
    <row r="103" spans="2:7" x14ac:dyDescent="0.25">
      <c r="B103" s="30"/>
      <c r="C103" s="12"/>
      <c r="D103" s="10"/>
      <c r="E103" s="15"/>
      <c r="F103" s="10"/>
      <c r="G103" s="11"/>
    </row>
    <row r="104" spans="2:7" x14ac:dyDescent="0.25">
      <c r="B104" s="30"/>
      <c r="C104" s="12"/>
      <c r="D104" s="10"/>
      <c r="E104" s="15"/>
      <c r="F104" s="10"/>
      <c r="G104" s="11"/>
    </row>
    <row r="105" spans="2:7" x14ac:dyDescent="0.25">
      <c r="B105" s="30"/>
      <c r="C105" s="12"/>
      <c r="D105" s="10"/>
      <c r="E105" s="15"/>
      <c r="F105" s="10"/>
      <c r="G105" s="11"/>
    </row>
    <row r="106" spans="2:7" x14ac:dyDescent="0.25">
      <c r="B106" s="30"/>
      <c r="C106" s="12"/>
      <c r="D106" s="10"/>
      <c r="E106" s="15"/>
      <c r="F106" s="10"/>
      <c r="G106" s="11"/>
    </row>
    <row r="107" spans="2:7" x14ac:dyDescent="0.25">
      <c r="B107" s="30"/>
      <c r="C107" s="12"/>
      <c r="D107" s="10"/>
      <c r="E107" s="15"/>
      <c r="F107" s="10"/>
      <c r="G107" s="11"/>
    </row>
    <row r="108" spans="2:7" x14ac:dyDescent="0.25">
      <c r="B108" s="30"/>
      <c r="C108" s="12"/>
      <c r="D108" s="10"/>
      <c r="E108" s="15"/>
      <c r="F108" s="10"/>
      <c r="G108" s="11"/>
    </row>
    <row r="109" spans="2:7" x14ac:dyDescent="0.25">
      <c r="B109" s="30"/>
      <c r="C109" s="12"/>
      <c r="D109" s="10"/>
      <c r="E109" s="15"/>
      <c r="F109" s="10"/>
      <c r="G109" s="11"/>
    </row>
    <row r="110" spans="2:7" x14ac:dyDescent="0.25">
      <c r="B110" s="5" t="s">
        <v>38</v>
      </c>
      <c r="C110" s="5" t="s">
        <v>38</v>
      </c>
      <c r="D110" s="5"/>
      <c r="E110" s="5"/>
      <c r="F110" s="5"/>
      <c r="G110" s="6">
        <f>SUM(G10:G109)</f>
        <v>0</v>
      </c>
    </row>
  </sheetData>
  <autoFilter ref="B9:G93" xr:uid="{00000000-0001-0000-0200-000000000000}"/>
  <mergeCells count="3">
    <mergeCell ref="B1:K1"/>
    <mergeCell ref="B8:G8"/>
    <mergeCell ref="I8:K8"/>
  </mergeCells>
  <dataValidations count="1">
    <dataValidation type="list" allowBlank="1" showInputMessage="1" showErrorMessage="1" sqref="F10:F109" xr:uid="{CC3C96BA-13E2-46E3-BC25-E10B376CCDC1}">
      <formula1>$I$10:$I$20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F36B0B-CCF6-42E1-9C28-F99F64E458AE}">
          <x14:formula1>
            <xm:f>Resumo!$B$6:$B$17</xm:f>
          </x14:formula1>
          <xm:sqref>D2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6B03-715E-48A5-B33B-F0C173A533DA}">
  <sheetPr>
    <tabColor theme="4"/>
  </sheetPr>
  <dimension ref="A1:M61"/>
  <sheetViews>
    <sheetView showGridLines="0" zoomScaleNormal="100" workbookViewId="0">
      <selection activeCell="L26" sqref="L26"/>
    </sheetView>
  </sheetViews>
  <sheetFormatPr defaultColWidth="8.7109375" defaultRowHeight="15" x14ac:dyDescent="0.25"/>
  <cols>
    <col min="1" max="1" width="2" customWidth="1"/>
    <col min="2" max="2" width="22" customWidth="1"/>
    <col min="3" max="3" width="14" customWidth="1"/>
    <col min="4" max="4" width="4" customWidth="1"/>
    <col min="5" max="5" width="11" style="18" customWidth="1"/>
    <col min="6" max="6" width="26" customWidth="1"/>
    <col min="7" max="7" width="25.7109375" bestFit="1" customWidth="1"/>
    <col min="8" max="8" width="12" customWidth="1"/>
    <col min="9" max="9" width="12.7109375" customWidth="1"/>
    <col min="10" max="10" width="2" customWidth="1"/>
    <col min="11" max="11" width="26" customWidth="1"/>
    <col min="12" max="12" width="13" customWidth="1"/>
    <col min="13" max="13" width="9.7109375" customWidth="1"/>
  </cols>
  <sheetData>
    <row r="1" spans="1:13" ht="24" customHeight="1" x14ac:dyDescent="0.25">
      <c r="B1" s="45" t="s">
        <v>25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x14ac:dyDescent="0.25">
      <c r="B2" s="7" t="s">
        <v>26</v>
      </c>
      <c r="C2" s="9" t="s">
        <v>16</v>
      </c>
      <c r="D2" s="8" t="s">
        <v>27</v>
      </c>
    </row>
    <row r="4" spans="1:13" x14ac:dyDescent="0.25">
      <c r="B4" s="5" t="s">
        <v>28</v>
      </c>
      <c r="C4" s="6">
        <f>C21</f>
        <v>0</v>
      </c>
      <c r="G4" s="5" t="s">
        <v>71</v>
      </c>
      <c r="H4" s="6">
        <f>SUMIF($I$11:$I$60,"Pago",$H$11:$H$60)</f>
        <v>0</v>
      </c>
    </row>
    <row r="5" spans="1:13" x14ac:dyDescent="0.25">
      <c r="B5" s="5" t="s">
        <v>29</v>
      </c>
      <c r="C5" s="6">
        <f>L20</f>
        <v>0</v>
      </c>
      <c r="G5" s="5" t="s">
        <v>72</v>
      </c>
      <c r="H5" s="6">
        <f>SUMIF($I$11:$I$60,"Não pago",$H$11:$H$60)</f>
        <v>0</v>
      </c>
    </row>
    <row r="6" spans="1:13" x14ac:dyDescent="0.25">
      <c r="B6" s="5" t="s">
        <v>30</v>
      </c>
      <c r="C6" s="6">
        <f>C4-C5</f>
        <v>0</v>
      </c>
    </row>
    <row r="8" spans="1:13" x14ac:dyDescent="0.25">
      <c r="A8" s="18"/>
      <c r="B8" s="18"/>
      <c r="C8" s="18"/>
      <c r="D8" s="18"/>
    </row>
    <row r="9" spans="1:13" ht="16.5" x14ac:dyDescent="0.25">
      <c r="B9" s="45" t="s">
        <v>31</v>
      </c>
      <c r="C9" s="45"/>
      <c r="E9" s="45" t="s">
        <v>32</v>
      </c>
      <c r="F9" s="45"/>
      <c r="G9" s="45"/>
      <c r="H9" s="45"/>
      <c r="I9" s="45"/>
      <c r="K9" s="45" t="s">
        <v>33</v>
      </c>
      <c r="L9" s="45"/>
      <c r="M9" s="45"/>
    </row>
    <row r="10" spans="1:13" x14ac:dyDescent="0.25">
      <c r="B10" s="1" t="s">
        <v>34</v>
      </c>
      <c r="C10" s="1" t="s">
        <v>35</v>
      </c>
      <c r="E10" s="17" t="s">
        <v>36</v>
      </c>
      <c r="F10" s="1" t="s">
        <v>34</v>
      </c>
      <c r="G10" s="1" t="s">
        <v>37</v>
      </c>
      <c r="H10" s="1" t="s">
        <v>35</v>
      </c>
      <c r="I10" s="1" t="s">
        <v>70</v>
      </c>
      <c r="K10" s="1" t="s">
        <v>37</v>
      </c>
      <c r="L10" s="1" t="s">
        <v>38</v>
      </c>
      <c r="M10" s="1" t="s">
        <v>39</v>
      </c>
    </row>
    <row r="11" spans="1:13" x14ac:dyDescent="0.25">
      <c r="B11" s="10"/>
      <c r="C11" s="11"/>
      <c r="E11" s="16"/>
      <c r="F11" s="10"/>
      <c r="G11" s="10"/>
      <c r="H11" s="20"/>
      <c r="I11" s="23"/>
      <c r="K11" s="21" t="s">
        <v>40</v>
      </c>
      <c r="L11" s="4">
        <f t="shared" ref="L11:L18" si="0">SUMIF($G$11:$G$60,K11,$H$11:$H$60)</f>
        <v>0</v>
      </c>
      <c r="M11" s="13">
        <f t="shared" ref="M11:M18" si="1">IF($L$20=0,0,L11/$L$20)</f>
        <v>0</v>
      </c>
    </row>
    <row r="12" spans="1:13" x14ac:dyDescent="0.25">
      <c r="B12" s="10"/>
      <c r="C12" s="11"/>
      <c r="E12" s="16"/>
      <c r="F12" s="10"/>
      <c r="G12" s="10"/>
      <c r="H12" s="20"/>
      <c r="I12" s="23"/>
      <c r="K12" s="21" t="s">
        <v>41</v>
      </c>
      <c r="L12" s="4">
        <f t="shared" si="0"/>
        <v>0</v>
      </c>
      <c r="M12" s="13">
        <f t="shared" si="1"/>
        <v>0</v>
      </c>
    </row>
    <row r="13" spans="1:13" x14ac:dyDescent="0.25">
      <c r="B13" s="10"/>
      <c r="C13" s="11"/>
      <c r="E13" s="16"/>
      <c r="F13" s="10"/>
      <c r="G13" s="10"/>
      <c r="H13" s="20"/>
      <c r="I13" s="23"/>
      <c r="K13" s="21" t="s">
        <v>42</v>
      </c>
      <c r="L13" s="4">
        <f t="shared" si="0"/>
        <v>0</v>
      </c>
      <c r="M13" s="13">
        <f t="shared" si="1"/>
        <v>0</v>
      </c>
    </row>
    <row r="14" spans="1:13" x14ac:dyDescent="0.25">
      <c r="B14" s="10"/>
      <c r="C14" s="11"/>
      <c r="E14" s="16"/>
      <c r="F14" s="10"/>
      <c r="G14" s="10"/>
      <c r="H14" s="20"/>
      <c r="I14" s="23"/>
      <c r="K14" s="21" t="s">
        <v>43</v>
      </c>
      <c r="L14" s="4">
        <f t="shared" si="0"/>
        <v>0</v>
      </c>
      <c r="M14" s="13">
        <f t="shared" si="1"/>
        <v>0</v>
      </c>
    </row>
    <row r="15" spans="1:13" x14ac:dyDescent="0.25">
      <c r="B15" s="10"/>
      <c r="C15" s="11"/>
      <c r="E15" s="16"/>
      <c r="F15" s="10"/>
      <c r="G15" s="10"/>
      <c r="H15" s="20"/>
      <c r="I15" s="23"/>
      <c r="K15" s="21" t="s">
        <v>44</v>
      </c>
      <c r="L15" s="4">
        <f t="shared" si="0"/>
        <v>0</v>
      </c>
      <c r="M15" s="13">
        <f t="shared" si="1"/>
        <v>0</v>
      </c>
    </row>
    <row r="16" spans="1:13" x14ac:dyDescent="0.25">
      <c r="B16" s="10"/>
      <c r="C16" s="11"/>
      <c r="E16" s="16"/>
      <c r="F16" s="10"/>
      <c r="G16" s="10"/>
      <c r="H16" s="20"/>
      <c r="I16" s="23"/>
      <c r="K16" s="21" t="s">
        <v>45</v>
      </c>
      <c r="L16" s="4">
        <f t="shared" si="0"/>
        <v>0</v>
      </c>
      <c r="M16" s="13">
        <f t="shared" si="1"/>
        <v>0</v>
      </c>
    </row>
    <row r="17" spans="2:13" x14ac:dyDescent="0.25">
      <c r="B17" s="10"/>
      <c r="C17" s="11"/>
      <c r="E17" s="16"/>
      <c r="F17" s="10"/>
      <c r="G17" s="10"/>
      <c r="H17" s="20"/>
      <c r="I17" s="23"/>
      <c r="K17" s="21" t="s">
        <v>46</v>
      </c>
      <c r="L17" s="4">
        <f t="shared" si="0"/>
        <v>0</v>
      </c>
      <c r="M17" s="13">
        <f t="shared" si="1"/>
        <v>0</v>
      </c>
    </row>
    <row r="18" spans="2:13" x14ac:dyDescent="0.25">
      <c r="B18" s="10"/>
      <c r="C18" s="11"/>
      <c r="E18" s="16"/>
      <c r="F18" s="10"/>
      <c r="G18" s="10"/>
      <c r="H18" s="20"/>
      <c r="I18" s="23"/>
      <c r="K18" s="21" t="s">
        <v>47</v>
      </c>
      <c r="L18" s="4">
        <f t="shared" si="0"/>
        <v>0</v>
      </c>
      <c r="M18" s="13">
        <f t="shared" si="1"/>
        <v>0</v>
      </c>
    </row>
    <row r="19" spans="2:13" x14ac:dyDescent="0.25">
      <c r="B19" s="10"/>
      <c r="C19" s="11"/>
      <c r="E19" s="16"/>
      <c r="F19" s="10"/>
      <c r="G19" s="10"/>
      <c r="H19" s="20"/>
      <c r="I19" s="23"/>
      <c r="K19" s="21" t="s">
        <v>48</v>
      </c>
      <c r="L19" s="3">
        <f>IFERROR('Outubro-Cartão'!D4,0)</f>
        <v>0</v>
      </c>
      <c r="M19" s="13">
        <f>IF($L$20=0,0,L19/$L$20)</f>
        <v>0</v>
      </c>
    </row>
    <row r="20" spans="2:13" x14ac:dyDescent="0.25">
      <c r="B20" s="10"/>
      <c r="C20" s="11"/>
      <c r="E20" s="16"/>
      <c r="F20" s="10"/>
      <c r="G20" s="10"/>
      <c r="H20" s="20"/>
      <c r="I20" s="23"/>
      <c r="K20" s="22" t="s">
        <v>38</v>
      </c>
      <c r="L20" s="6">
        <f>SUM(L11:L19)</f>
        <v>0</v>
      </c>
      <c r="M20" s="14">
        <f>IF(L20=0,0,L20/L20)</f>
        <v>0</v>
      </c>
    </row>
    <row r="21" spans="2:13" x14ac:dyDescent="0.25">
      <c r="B21" s="5" t="s">
        <v>38</v>
      </c>
      <c r="C21" s="6">
        <f>SUM(C11:C20)</f>
        <v>0</v>
      </c>
      <c r="E21" s="16"/>
      <c r="F21" s="10"/>
      <c r="G21" s="10"/>
      <c r="H21" s="20"/>
      <c r="I21" s="23"/>
    </row>
    <row r="22" spans="2:13" x14ac:dyDescent="0.25">
      <c r="E22" s="16"/>
      <c r="F22" s="10"/>
      <c r="G22" s="10"/>
      <c r="H22" s="20"/>
      <c r="I22" s="23"/>
      <c r="K22" s="44" t="s">
        <v>49</v>
      </c>
      <c r="L22" s="44"/>
      <c r="M22" s="44"/>
    </row>
    <row r="23" spans="2:13" x14ac:dyDescent="0.25">
      <c r="E23" s="16"/>
      <c r="F23" s="10"/>
      <c r="G23" s="10"/>
      <c r="H23" s="20"/>
      <c r="I23" s="23"/>
      <c r="K23" s="44"/>
      <c r="L23" s="44"/>
      <c r="M23" s="44"/>
    </row>
    <row r="24" spans="2:13" x14ac:dyDescent="0.25">
      <c r="E24" s="16"/>
      <c r="F24" s="10"/>
      <c r="G24" s="10"/>
      <c r="H24" s="20"/>
      <c r="I24" s="23"/>
    </row>
    <row r="25" spans="2:13" x14ac:dyDescent="0.25">
      <c r="E25" s="16"/>
      <c r="F25" s="10"/>
      <c r="G25" s="10"/>
      <c r="H25" s="20"/>
      <c r="I25" s="23"/>
    </row>
    <row r="26" spans="2:13" x14ac:dyDescent="0.25">
      <c r="E26" s="16"/>
      <c r="F26" s="10"/>
      <c r="G26" s="10"/>
      <c r="H26" s="20"/>
      <c r="I26" s="23"/>
    </row>
    <row r="27" spans="2:13" x14ac:dyDescent="0.25">
      <c r="E27" s="16"/>
      <c r="F27" s="10"/>
      <c r="G27" s="10"/>
      <c r="H27" s="20"/>
      <c r="I27" s="23"/>
    </row>
    <row r="28" spans="2:13" x14ac:dyDescent="0.25">
      <c r="E28" s="16"/>
      <c r="F28" s="10"/>
      <c r="G28" s="10"/>
      <c r="H28" s="20"/>
      <c r="I28" s="23"/>
    </row>
    <row r="29" spans="2:13" x14ac:dyDescent="0.25">
      <c r="E29" s="16"/>
      <c r="F29" s="10"/>
      <c r="G29" s="10"/>
      <c r="H29" s="20"/>
      <c r="I29" s="23"/>
    </row>
    <row r="30" spans="2:13" x14ac:dyDescent="0.25">
      <c r="E30" s="16"/>
      <c r="F30" s="10"/>
      <c r="G30" s="10"/>
      <c r="H30" s="20"/>
      <c r="I30" s="23"/>
    </row>
    <row r="31" spans="2:13" x14ac:dyDescent="0.25">
      <c r="E31" s="16"/>
      <c r="F31" s="10"/>
      <c r="G31" s="10"/>
      <c r="H31" s="20"/>
      <c r="I31" s="23"/>
    </row>
    <row r="32" spans="2:13" x14ac:dyDescent="0.25">
      <c r="E32" s="16"/>
      <c r="F32" s="10"/>
      <c r="G32" s="10"/>
      <c r="H32" s="20"/>
      <c r="I32" s="23"/>
    </row>
    <row r="33" spans="5:9" x14ac:dyDescent="0.25">
      <c r="E33" s="16"/>
      <c r="F33" s="10"/>
      <c r="G33" s="10"/>
      <c r="H33" s="20"/>
      <c r="I33" s="23"/>
    </row>
    <row r="34" spans="5:9" x14ac:dyDescent="0.25">
      <c r="E34" s="16"/>
      <c r="F34" s="10"/>
      <c r="G34" s="10"/>
      <c r="H34" s="20"/>
      <c r="I34" s="23"/>
    </row>
    <row r="35" spans="5:9" x14ac:dyDescent="0.25">
      <c r="E35" s="16"/>
      <c r="F35" s="10"/>
      <c r="G35" s="10"/>
      <c r="H35" s="20"/>
      <c r="I35" s="23"/>
    </row>
    <row r="36" spans="5:9" x14ac:dyDescent="0.25">
      <c r="E36" s="16"/>
      <c r="F36" s="10"/>
      <c r="G36" s="10"/>
      <c r="H36" s="20"/>
      <c r="I36" s="23"/>
    </row>
    <row r="37" spans="5:9" x14ac:dyDescent="0.25">
      <c r="E37" s="16"/>
      <c r="F37" s="10"/>
      <c r="G37" s="10"/>
      <c r="H37" s="20"/>
      <c r="I37" s="23"/>
    </row>
    <row r="38" spans="5:9" x14ac:dyDescent="0.25">
      <c r="E38" s="16"/>
      <c r="F38" s="10"/>
      <c r="G38" s="10"/>
      <c r="H38" s="20"/>
      <c r="I38" s="23"/>
    </row>
    <row r="39" spans="5:9" x14ac:dyDescent="0.25">
      <c r="E39" s="16"/>
      <c r="F39" s="10"/>
      <c r="G39" s="10"/>
      <c r="H39" s="20"/>
      <c r="I39" s="23"/>
    </row>
    <row r="40" spans="5:9" x14ac:dyDescent="0.25">
      <c r="E40" s="16"/>
      <c r="F40" s="10"/>
      <c r="G40" s="10"/>
      <c r="H40" s="20"/>
      <c r="I40" s="23"/>
    </row>
    <row r="41" spans="5:9" x14ac:dyDescent="0.25">
      <c r="E41" s="16"/>
      <c r="F41" s="10"/>
      <c r="G41" s="10"/>
      <c r="H41" s="20"/>
      <c r="I41" s="23"/>
    </row>
    <row r="42" spans="5:9" x14ac:dyDescent="0.25">
      <c r="E42" s="16"/>
      <c r="F42" s="10"/>
      <c r="G42" s="10"/>
      <c r="H42" s="20"/>
      <c r="I42" s="23"/>
    </row>
    <row r="43" spans="5:9" x14ac:dyDescent="0.25">
      <c r="E43" s="16"/>
      <c r="F43" s="10"/>
      <c r="G43" s="10"/>
      <c r="H43" s="20"/>
      <c r="I43" s="23"/>
    </row>
    <row r="44" spans="5:9" x14ac:dyDescent="0.25">
      <c r="E44" s="16"/>
      <c r="F44" s="10"/>
      <c r="G44" s="10"/>
      <c r="H44" s="20"/>
      <c r="I44" s="23"/>
    </row>
    <row r="45" spans="5:9" x14ac:dyDescent="0.25">
      <c r="E45" s="16"/>
      <c r="F45" s="10"/>
      <c r="G45" s="10"/>
      <c r="H45" s="20"/>
      <c r="I45" s="23"/>
    </row>
    <row r="46" spans="5:9" x14ac:dyDescent="0.25">
      <c r="E46" s="16"/>
      <c r="F46" s="10"/>
      <c r="G46" s="10"/>
      <c r="H46" s="20"/>
      <c r="I46" s="23"/>
    </row>
    <row r="47" spans="5:9" x14ac:dyDescent="0.25">
      <c r="E47" s="16"/>
      <c r="F47" s="10"/>
      <c r="G47" s="10"/>
      <c r="H47" s="20"/>
      <c r="I47" s="23"/>
    </row>
    <row r="48" spans="5:9" x14ac:dyDescent="0.25">
      <c r="E48" s="16"/>
      <c r="F48" s="10"/>
      <c r="G48" s="10"/>
      <c r="H48" s="20"/>
      <c r="I48" s="23"/>
    </row>
    <row r="49" spans="5:10" x14ac:dyDescent="0.25">
      <c r="E49" s="16"/>
      <c r="F49" s="10"/>
      <c r="G49" s="10"/>
      <c r="H49" s="20"/>
      <c r="I49" s="23"/>
    </row>
    <row r="50" spans="5:10" x14ac:dyDescent="0.25">
      <c r="E50" s="16"/>
      <c r="F50" s="10"/>
      <c r="G50" s="10"/>
      <c r="H50" s="20"/>
      <c r="I50" s="23"/>
    </row>
    <row r="51" spans="5:10" x14ac:dyDescent="0.25">
      <c r="E51" s="16"/>
      <c r="F51" s="10"/>
      <c r="G51" s="10"/>
      <c r="H51" s="20"/>
      <c r="I51" s="23"/>
    </row>
    <row r="52" spans="5:10" x14ac:dyDescent="0.25">
      <c r="E52" s="16"/>
      <c r="F52" s="10"/>
      <c r="G52" s="10"/>
      <c r="H52" s="20"/>
      <c r="I52" s="23"/>
      <c r="J52" s="24"/>
    </row>
    <row r="53" spans="5:10" x14ac:dyDescent="0.25">
      <c r="E53" s="16"/>
      <c r="F53" s="10"/>
      <c r="G53" s="10"/>
      <c r="H53" s="20"/>
      <c r="I53" s="23"/>
      <c r="J53" s="24"/>
    </row>
    <row r="54" spans="5:10" x14ac:dyDescent="0.25">
      <c r="E54" s="16"/>
      <c r="F54" s="10"/>
      <c r="G54" s="10"/>
      <c r="H54" s="20"/>
      <c r="I54" s="23"/>
      <c r="J54" s="24"/>
    </row>
    <row r="55" spans="5:10" x14ac:dyDescent="0.25">
      <c r="E55" s="16"/>
      <c r="F55" s="10"/>
      <c r="G55" s="10"/>
      <c r="H55" s="20"/>
      <c r="I55" s="23"/>
      <c r="J55" s="24"/>
    </row>
    <row r="56" spans="5:10" x14ac:dyDescent="0.25">
      <c r="E56" s="16"/>
      <c r="F56" s="10"/>
      <c r="G56" s="10"/>
      <c r="H56" s="20"/>
      <c r="I56" s="23"/>
      <c r="J56" s="24"/>
    </row>
    <row r="57" spans="5:10" x14ac:dyDescent="0.25">
      <c r="E57" s="16"/>
      <c r="F57" s="10"/>
      <c r="G57" s="10"/>
      <c r="H57" s="20"/>
      <c r="I57" s="23"/>
      <c r="J57" s="24"/>
    </row>
    <row r="58" spans="5:10" x14ac:dyDescent="0.25">
      <c r="E58" s="16"/>
      <c r="F58" s="10"/>
      <c r="G58" s="10"/>
      <c r="H58" s="20"/>
      <c r="I58" s="23"/>
      <c r="J58" s="24"/>
    </row>
    <row r="59" spans="5:10" x14ac:dyDescent="0.25">
      <c r="E59" s="16"/>
      <c r="F59" s="10"/>
      <c r="G59" s="10"/>
      <c r="H59" s="20"/>
      <c r="I59" s="23"/>
      <c r="J59" s="24"/>
    </row>
    <row r="60" spans="5:10" x14ac:dyDescent="0.25">
      <c r="E60" s="16"/>
      <c r="F60" s="10"/>
      <c r="G60" s="10"/>
      <c r="H60" s="20"/>
      <c r="I60" s="23"/>
      <c r="J60" s="24"/>
    </row>
    <row r="61" spans="5:10" x14ac:dyDescent="0.25">
      <c r="E61" s="19" t="s">
        <v>50</v>
      </c>
      <c r="F61" s="5"/>
      <c r="G61" s="5"/>
      <c r="H61" s="6">
        <f>SUM(H11:H60)</f>
        <v>0</v>
      </c>
    </row>
  </sheetData>
  <mergeCells count="5">
    <mergeCell ref="B1:M1"/>
    <mergeCell ref="B9:C9"/>
    <mergeCell ref="E9:I9"/>
    <mergeCell ref="K9:M9"/>
    <mergeCell ref="K22:M23"/>
  </mergeCells>
  <conditionalFormatting sqref="I11:I51 I52:J60">
    <cfRule type="cellIs" dxfId="5" priority="1" operator="equal">
      <formula>"Pago"</formula>
    </cfRule>
    <cfRule type="cellIs" dxfId="4" priority="2" operator="equal">
      <formula>"Não pago"</formula>
    </cfRule>
  </conditionalFormatting>
  <dataValidations count="2">
    <dataValidation type="list" allowBlank="1" showInputMessage="1" showErrorMessage="1" sqref="J52:J60 I11:I60" xr:uid="{81D49863-E494-453C-B6C7-E6F8912E560B}">
      <formula1>"Pago,Não pago"</formula1>
    </dataValidation>
    <dataValidation type="list" allowBlank="1" error="Escolha uma categoria da lista" sqref="G11:G60" xr:uid="{E12A1FF5-9211-4636-A606-9D933B3011E3}">
      <formula1>$K$11:$K$18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9BF822-61D5-45B3-BFB2-54896AD90684}">
          <x14:formula1>
            <xm:f>Resumo!$B$6:$B$17</xm:f>
          </x14:formula1>
          <xm:sqref>C2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9E50D-435F-40C2-A93E-93772F0767CB}">
  <sheetPr>
    <tabColor theme="4"/>
  </sheetPr>
  <dimension ref="B1:K110"/>
  <sheetViews>
    <sheetView showGridLines="0" zoomScaleNormal="100" workbookViewId="0">
      <selection activeCell="L26" sqref="L26"/>
    </sheetView>
  </sheetViews>
  <sheetFormatPr defaultColWidth="8.7109375" defaultRowHeight="15" x14ac:dyDescent="0.25"/>
  <cols>
    <col min="1" max="1" width="2" customWidth="1"/>
    <col min="2" max="2" width="15.5703125" customWidth="1"/>
    <col min="3" max="3" width="15" bestFit="1" customWidth="1"/>
    <col min="4" max="4" width="30" customWidth="1"/>
    <col min="5" max="5" width="9" customWidth="1"/>
    <col min="6" max="6" width="24" customWidth="1"/>
    <col min="7" max="7" width="12" customWidth="1"/>
    <col min="8" max="8" width="2" customWidth="1"/>
    <col min="9" max="9" width="24" customWidth="1"/>
    <col min="10" max="10" width="13" customWidth="1"/>
    <col min="11" max="11" width="8" customWidth="1"/>
  </cols>
  <sheetData>
    <row r="1" spans="2:11" ht="24" customHeight="1" x14ac:dyDescent="0.25">
      <c r="B1" s="45" t="s">
        <v>51</v>
      </c>
      <c r="C1" s="45"/>
      <c r="D1" s="45"/>
      <c r="E1" s="45"/>
      <c r="F1" s="45"/>
      <c r="G1" s="45"/>
      <c r="H1" s="45"/>
      <c r="I1" s="45"/>
      <c r="J1" s="45"/>
      <c r="K1" s="45"/>
    </row>
    <row r="2" spans="2:11" x14ac:dyDescent="0.25">
      <c r="C2" s="7" t="s">
        <v>26</v>
      </c>
      <c r="D2" s="9" t="s">
        <v>16</v>
      </c>
      <c r="E2" s="8" t="s">
        <v>52</v>
      </c>
    </row>
    <row r="3" spans="2:11" x14ac:dyDescent="0.25">
      <c r="I3" s="5" t="s">
        <v>145</v>
      </c>
      <c r="J3" s="6">
        <f>SUMIFS(G:G,B:B,I3)</f>
        <v>0</v>
      </c>
    </row>
    <row r="4" spans="2:11" x14ac:dyDescent="0.25">
      <c r="C4" s="5" t="s">
        <v>53</v>
      </c>
      <c r="D4" s="6">
        <f>G110</f>
        <v>0</v>
      </c>
      <c r="I4" s="5" t="s">
        <v>146</v>
      </c>
      <c r="J4" s="6">
        <f>SUMIFS(G:G,B:B,I4)</f>
        <v>0</v>
      </c>
    </row>
    <row r="5" spans="2:11" x14ac:dyDescent="0.25">
      <c r="I5" s="5" t="s">
        <v>147</v>
      </c>
      <c r="J5" s="6">
        <f>SUMIFS(G:G,B:B,I5)</f>
        <v>0</v>
      </c>
    </row>
    <row r="6" spans="2:11" x14ac:dyDescent="0.25">
      <c r="I6" s="43" t="s">
        <v>148</v>
      </c>
      <c r="J6" s="6">
        <f>SUM(J3:J5)</f>
        <v>0</v>
      </c>
    </row>
    <row r="8" spans="2:11" ht="16.5" x14ac:dyDescent="0.25">
      <c r="B8" s="45" t="s">
        <v>54</v>
      </c>
      <c r="C8" s="45"/>
      <c r="D8" s="45"/>
      <c r="E8" s="45"/>
      <c r="F8" s="45"/>
      <c r="G8" s="45"/>
      <c r="I8" s="45" t="s">
        <v>55</v>
      </c>
      <c r="J8" s="45"/>
      <c r="K8" s="45"/>
    </row>
    <row r="9" spans="2:11" x14ac:dyDescent="0.25">
      <c r="B9" s="1" t="s">
        <v>144</v>
      </c>
      <c r="C9" s="1" t="s">
        <v>36</v>
      </c>
      <c r="D9" s="1" t="s">
        <v>34</v>
      </c>
      <c r="E9" s="1" t="s">
        <v>56</v>
      </c>
      <c r="F9" s="1" t="s">
        <v>37</v>
      </c>
      <c r="G9" s="1" t="s">
        <v>35</v>
      </c>
      <c r="I9" s="1" t="s">
        <v>37</v>
      </c>
      <c r="J9" s="1" t="s">
        <v>38</v>
      </c>
      <c r="K9" s="1" t="s">
        <v>39</v>
      </c>
    </row>
    <row r="10" spans="2:11" x14ac:dyDescent="0.25">
      <c r="B10" s="16"/>
      <c r="C10" s="16"/>
      <c r="D10" s="31"/>
      <c r="E10" s="32"/>
      <c r="F10" s="31"/>
      <c r="G10" s="33"/>
      <c r="I10" s="40" t="s">
        <v>42</v>
      </c>
      <c r="J10" s="41">
        <f t="shared" ref="J10:J20" si="0">SUMIF($F$10:$F$109,I10,$G$10:$G$109)</f>
        <v>0</v>
      </c>
      <c r="K10" s="42">
        <f t="shared" ref="K10:K20" si="1">IF($J$21=0,0,J10/$J$21)</f>
        <v>0</v>
      </c>
    </row>
    <row r="11" spans="2:11" x14ac:dyDescent="0.25">
      <c r="B11" s="16"/>
      <c r="C11" s="16"/>
      <c r="D11" s="31"/>
      <c r="E11" s="32"/>
      <c r="F11" s="31"/>
      <c r="G11" s="33"/>
      <c r="I11" s="40" t="s">
        <v>57</v>
      </c>
      <c r="J11" s="41">
        <f t="shared" si="0"/>
        <v>0</v>
      </c>
      <c r="K11" s="42">
        <f t="shared" si="1"/>
        <v>0</v>
      </c>
    </row>
    <row r="12" spans="2:11" x14ac:dyDescent="0.25">
      <c r="B12" s="16"/>
      <c r="C12" s="16"/>
      <c r="D12" s="31"/>
      <c r="E12" s="32"/>
      <c r="F12" s="31"/>
      <c r="G12" s="33"/>
      <c r="I12" s="40" t="s">
        <v>58</v>
      </c>
      <c r="J12" s="41">
        <f t="shared" si="0"/>
        <v>0</v>
      </c>
      <c r="K12" s="42">
        <f t="shared" si="1"/>
        <v>0</v>
      </c>
    </row>
    <row r="13" spans="2:11" x14ac:dyDescent="0.25">
      <c r="B13" s="16"/>
      <c r="C13" s="16"/>
      <c r="D13" s="31"/>
      <c r="E13" s="32"/>
      <c r="F13" s="31"/>
      <c r="G13" s="33"/>
      <c r="I13" s="40" t="s">
        <v>59</v>
      </c>
      <c r="J13" s="41">
        <f t="shared" si="0"/>
        <v>0</v>
      </c>
      <c r="K13" s="42">
        <f t="shared" si="1"/>
        <v>0</v>
      </c>
    </row>
    <row r="14" spans="2:11" x14ac:dyDescent="0.25">
      <c r="B14" s="29"/>
      <c r="C14" s="29"/>
      <c r="D14" s="34"/>
      <c r="E14" s="35"/>
      <c r="F14" s="34"/>
      <c r="G14" s="36"/>
      <c r="I14" s="40" t="s">
        <v>60</v>
      </c>
      <c r="J14" s="41">
        <f t="shared" si="0"/>
        <v>0</v>
      </c>
      <c r="K14" s="42">
        <f t="shared" si="1"/>
        <v>0</v>
      </c>
    </row>
    <row r="15" spans="2:11" x14ac:dyDescent="0.25">
      <c r="B15" s="30"/>
      <c r="C15" s="30"/>
      <c r="D15" s="37"/>
      <c r="E15" s="38"/>
      <c r="F15" s="37"/>
      <c r="G15" s="39"/>
      <c r="I15" s="40" t="s">
        <v>61</v>
      </c>
      <c r="J15" s="41">
        <f t="shared" si="0"/>
        <v>0</v>
      </c>
      <c r="K15" s="42">
        <f t="shared" si="1"/>
        <v>0</v>
      </c>
    </row>
    <row r="16" spans="2:11" x14ac:dyDescent="0.25">
      <c r="B16" s="30"/>
      <c r="C16" s="30"/>
      <c r="D16" s="37"/>
      <c r="E16" s="38"/>
      <c r="F16" s="37"/>
      <c r="G16" s="39"/>
      <c r="I16" s="40" t="s">
        <v>62</v>
      </c>
      <c r="J16" s="41">
        <f t="shared" si="0"/>
        <v>0</v>
      </c>
      <c r="K16" s="42">
        <f t="shared" si="1"/>
        <v>0</v>
      </c>
    </row>
    <row r="17" spans="2:11" x14ac:dyDescent="0.25">
      <c r="B17" s="30"/>
      <c r="C17" s="30"/>
      <c r="D17" s="37"/>
      <c r="E17" s="38"/>
      <c r="F17" s="37"/>
      <c r="G17" s="39"/>
      <c r="I17" s="40" t="s">
        <v>46</v>
      </c>
      <c r="J17" s="41">
        <f t="shared" si="0"/>
        <v>0</v>
      </c>
      <c r="K17" s="42">
        <f t="shared" si="1"/>
        <v>0</v>
      </c>
    </row>
    <row r="18" spans="2:11" x14ac:dyDescent="0.25">
      <c r="B18" s="30"/>
      <c r="C18" s="30"/>
      <c r="D18" s="37"/>
      <c r="E18" s="38"/>
      <c r="F18" s="37"/>
      <c r="G18" s="39"/>
      <c r="I18" s="40" t="s">
        <v>63</v>
      </c>
      <c r="J18" s="41">
        <f t="shared" si="0"/>
        <v>0</v>
      </c>
      <c r="K18" s="42">
        <f t="shared" si="1"/>
        <v>0</v>
      </c>
    </row>
    <row r="19" spans="2:11" x14ac:dyDescent="0.25">
      <c r="B19" s="30"/>
      <c r="C19" s="30"/>
      <c r="D19" s="37"/>
      <c r="E19" s="38"/>
      <c r="F19" s="37"/>
      <c r="G19" s="39"/>
      <c r="I19" s="40" t="s">
        <v>45</v>
      </c>
      <c r="J19" s="41">
        <f t="shared" si="0"/>
        <v>0</v>
      </c>
      <c r="K19" s="42">
        <f t="shared" si="1"/>
        <v>0</v>
      </c>
    </row>
    <row r="20" spans="2:11" x14ac:dyDescent="0.25">
      <c r="B20" s="30"/>
      <c r="C20" s="30"/>
      <c r="D20" s="37"/>
      <c r="E20" s="38"/>
      <c r="F20" s="37"/>
      <c r="G20" s="39"/>
      <c r="I20" s="40" t="s">
        <v>47</v>
      </c>
      <c r="J20" s="41">
        <f t="shared" si="0"/>
        <v>0</v>
      </c>
      <c r="K20" s="42">
        <f t="shared" si="1"/>
        <v>0</v>
      </c>
    </row>
    <row r="21" spans="2:11" x14ac:dyDescent="0.25">
      <c r="B21" s="30"/>
      <c r="C21" s="30"/>
      <c r="D21" s="37"/>
      <c r="E21" s="38"/>
      <c r="F21" s="37"/>
      <c r="G21" s="39"/>
      <c r="I21" s="5" t="s">
        <v>38</v>
      </c>
      <c r="J21" s="6">
        <f>SUM(J10:J20)</f>
        <v>0</v>
      </c>
      <c r="K21" s="14">
        <f>IF(J21=0,0,J21/J21)</f>
        <v>0</v>
      </c>
    </row>
    <row r="22" spans="2:11" x14ac:dyDescent="0.25">
      <c r="B22" s="30"/>
      <c r="C22" s="30"/>
      <c r="D22" s="37"/>
      <c r="E22" s="38"/>
      <c r="F22" s="37"/>
      <c r="G22" s="39"/>
    </row>
    <row r="23" spans="2:11" x14ac:dyDescent="0.25">
      <c r="B23" s="30"/>
      <c r="C23" s="30"/>
      <c r="D23" s="37"/>
      <c r="E23" s="38"/>
      <c r="F23" s="37"/>
      <c r="G23" s="39"/>
    </row>
    <row r="24" spans="2:11" x14ac:dyDescent="0.25">
      <c r="B24" s="30"/>
      <c r="C24" s="30"/>
      <c r="D24" s="37"/>
      <c r="E24" s="38"/>
      <c r="F24" s="37"/>
      <c r="G24" s="39"/>
    </row>
    <row r="25" spans="2:11" x14ac:dyDescent="0.25">
      <c r="B25" s="30"/>
      <c r="C25" s="30"/>
      <c r="D25" s="37"/>
      <c r="E25" s="38"/>
      <c r="F25" s="37"/>
      <c r="G25" s="39"/>
    </row>
    <row r="26" spans="2:11" x14ac:dyDescent="0.25">
      <c r="B26" s="30"/>
      <c r="C26" s="30"/>
      <c r="D26" s="37"/>
      <c r="E26" s="38"/>
      <c r="F26" s="37"/>
      <c r="G26" s="39"/>
    </row>
    <row r="27" spans="2:11" x14ac:dyDescent="0.25">
      <c r="B27" s="30"/>
      <c r="C27" s="30"/>
      <c r="D27" s="37"/>
      <c r="E27" s="38"/>
      <c r="F27" s="37"/>
      <c r="G27" s="39"/>
    </row>
    <row r="28" spans="2:11" x14ac:dyDescent="0.25">
      <c r="B28" s="30"/>
      <c r="C28" s="30"/>
      <c r="D28" s="37"/>
      <c r="E28" s="38"/>
      <c r="F28" s="37"/>
      <c r="G28" s="39"/>
    </row>
    <row r="29" spans="2:11" x14ac:dyDescent="0.25">
      <c r="B29" s="30"/>
      <c r="C29" s="30"/>
      <c r="D29" s="37"/>
      <c r="E29" s="38"/>
      <c r="F29" s="37"/>
      <c r="G29" s="39"/>
    </row>
    <row r="30" spans="2:11" x14ac:dyDescent="0.25">
      <c r="B30" s="30"/>
      <c r="C30" s="30"/>
      <c r="D30" s="37"/>
      <c r="E30" s="38"/>
      <c r="F30" s="37"/>
      <c r="G30" s="39"/>
    </row>
    <row r="31" spans="2:11" x14ac:dyDescent="0.25">
      <c r="B31" s="30"/>
      <c r="C31" s="30"/>
      <c r="D31" s="37"/>
      <c r="E31" s="38"/>
      <c r="F31" s="37"/>
      <c r="G31" s="39"/>
    </row>
    <row r="32" spans="2:11" x14ac:dyDescent="0.25">
      <c r="B32" s="30"/>
      <c r="C32" s="30"/>
      <c r="D32" s="37"/>
      <c r="E32" s="38"/>
      <c r="F32" s="37"/>
      <c r="G32" s="39"/>
    </row>
    <row r="33" spans="2:7" x14ac:dyDescent="0.25">
      <c r="B33" s="30"/>
      <c r="C33" s="30"/>
      <c r="D33" s="37"/>
      <c r="E33" s="38"/>
      <c r="F33" s="37"/>
      <c r="G33" s="39"/>
    </row>
    <row r="34" spans="2:7" x14ac:dyDescent="0.25">
      <c r="B34" s="30"/>
      <c r="C34" s="30"/>
      <c r="D34" s="37"/>
      <c r="E34" s="38"/>
      <c r="F34" s="37"/>
      <c r="G34" s="39"/>
    </row>
    <row r="35" spans="2:7" x14ac:dyDescent="0.25">
      <c r="B35" s="30"/>
      <c r="C35" s="30"/>
      <c r="D35" s="37"/>
      <c r="E35" s="38"/>
      <c r="F35" s="37"/>
      <c r="G35" s="39"/>
    </row>
    <row r="36" spans="2:7" x14ac:dyDescent="0.25">
      <c r="B36" s="30"/>
      <c r="C36" s="30"/>
      <c r="D36" s="37"/>
      <c r="E36" s="38"/>
      <c r="F36" s="37"/>
      <c r="G36" s="39"/>
    </row>
    <row r="37" spans="2:7" x14ac:dyDescent="0.25">
      <c r="B37" s="30"/>
      <c r="C37" s="30"/>
      <c r="D37" s="37"/>
      <c r="E37" s="38"/>
      <c r="F37" s="37"/>
      <c r="G37" s="39"/>
    </row>
    <row r="38" spans="2:7" x14ac:dyDescent="0.25">
      <c r="B38" s="30"/>
      <c r="C38" s="30"/>
      <c r="D38" s="37"/>
      <c r="E38" s="38"/>
      <c r="F38" s="37"/>
      <c r="G38" s="39"/>
    </row>
    <row r="39" spans="2:7" x14ac:dyDescent="0.25">
      <c r="B39" s="30"/>
      <c r="C39" s="30"/>
      <c r="D39" s="37"/>
      <c r="E39" s="38"/>
      <c r="F39" s="37"/>
      <c r="G39" s="39"/>
    </row>
    <row r="40" spans="2:7" x14ac:dyDescent="0.25">
      <c r="B40" s="30"/>
      <c r="C40" s="30"/>
      <c r="D40" s="37"/>
      <c r="E40" s="38"/>
      <c r="F40" s="37"/>
      <c r="G40" s="39"/>
    </row>
    <row r="41" spans="2:7" x14ac:dyDescent="0.25">
      <c r="B41" s="30"/>
      <c r="C41" s="30"/>
      <c r="D41" s="37"/>
      <c r="E41" s="38"/>
      <c r="F41" s="37"/>
      <c r="G41" s="39"/>
    </row>
    <row r="42" spans="2:7" x14ac:dyDescent="0.25">
      <c r="B42" s="30"/>
      <c r="C42" s="30"/>
      <c r="D42" s="37"/>
      <c r="E42" s="38"/>
      <c r="F42" s="37"/>
      <c r="G42" s="39"/>
    </row>
    <row r="43" spans="2:7" x14ac:dyDescent="0.25">
      <c r="B43" s="30"/>
      <c r="C43" s="30"/>
      <c r="D43" s="37"/>
      <c r="E43" s="38"/>
      <c r="F43" s="37"/>
      <c r="G43" s="39"/>
    </row>
    <row r="44" spans="2:7" x14ac:dyDescent="0.25">
      <c r="B44" s="30"/>
      <c r="C44" s="30"/>
      <c r="D44" s="37"/>
      <c r="E44" s="38"/>
      <c r="F44" s="37"/>
      <c r="G44" s="39"/>
    </row>
    <row r="45" spans="2:7" x14ac:dyDescent="0.25">
      <c r="B45" s="30"/>
      <c r="C45" s="30"/>
      <c r="D45" s="37"/>
      <c r="E45" s="38"/>
      <c r="F45" s="37"/>
      <c r="G45" s="39"/>
    </row>
    <row r="46" spans="2:7" x14ac:dyDescent="0.25">
      <c r="B46" s="30"/>
      <c r="C46" s="30"/>
      <c r="D46" s="37"/>
      <c r="E46" s="38"/>
      <c r="F46" s="37"/>
      <c r="G46" s="39"/>
    </row>
    <row r="47" spans="2:7" x14ac:dyDescent="0.25">
      <c r="B47" s="30"/>
      <c r="C47" s="30"/>
      <c r="D47" s="37"/>
      <c r="E47" s="38"/>
      <c r="F47" s="37"/>
      <c r="G47" s="39"/>
    </row>
    <row r="48" spans="2:7" x14ac:dyDescent="0.25">
      <c r="B48" s="30"/>
      <c r="C48" s="30"/>
      <c r="D48" s="37"/>
      <c r="E48" s="38"/>
      <c r="F48" s="37"/>
      <c r="G48" s="39"/>
    </row>
    <row r="49" spans="2:7" x14ac:dyDescent="0.25">
      <c r="B49" s="30"/>
      <c r="C49" s="30"/>
      <c r="D49" s="37"/>
      <c r="E49" s="38"/>
      <c r="F49" s="37"/>
      <c r="G49" s="39"/>
    </row>
    <row r="50" spans="2:7" x14ac:dyDescent="0.25">
      <c r="B50" s="30"/>
      <c r="C50" s="30"/>
      <c r="D50" s="37"/>
      <c r="E50" s="38"/>
      <c r="F50" s="37"/>
      <c r="G50" s="39"/>
    </row>
    <row r="51" spans="2:7" x14ac:dyDescent="0.25">
      <c r="B51" s="30"/>
      <c r="C51" s="30"/>
      <c r="D51" s="37"/>
      <c r="E51" s="38"/>
      <c r="F51" s="37"/>
      <c r="G51" s="39"/>
    </row>
    <row r="52" spans="2:7" x14ac:dyDescent="0.25">
      <c r="B52" s="30"/>
      <c r="C52" s="30"/>
      <c r="D52" s="37"/>
      <c r="E52" s="38"/>
      <c r="F52" s="37"/>
      <c r="G52" s="39"/>
    </row>
    <row r="53" spans="2:7" x14ac:dyDescent="0.25">
      <c r="B53" s="30"/>
      <c r="C53" s="30"/>
      <c r="D53" s="37"/>
      <c r="E53" s="38"/>
      <c r="F53" s="37"/>
      <c r="G53" s="39"/>
    </row>
    <row r="54" spans="2:7" x14ac:dyDescent="0.25">
      <c r="B54" s="30"/>
      <c r="C54" s="30"/>
      <c r="D54" s="37"/>
      <c r="E54" s="38"/>
      <c r="F54" s="37"/>
      <c r="G54" s="39"/>
    </row>
    <row r="55" spans="2:7" x14ac:dyDescent="0.25">
      <c r="B55" s="30"/>
      <c r="C55" s="30"/>
      <c r="D55" s="37"/>
      <c r="E55" s="38"/>
      <c r="F55" s="37"/>
      <c r="G55" s="39"/>
    </row>
    <row r="56" spans="2:7" x14ac:dyDescent="0.25">
      <c r="B56" s="30"/>
      <c r="C56" s="30"/>
      <c r="D56" s="37"/>
      <c r="E56" s="38"/>
      <c r="F56" s="37"/>
      <c r="G56" s="39"/>
    </row>
    <row r="57" spans="2:7" x14ac:dyDescent="0.25">
      <c r="B57" s="30"/>
      <c r="C57" s="30"/>
      <c r="D57" s="37"/>
      <c r="E57" s="38"/>
      <c r="F57" s="37"/>
      <c r="G57" s="39"/>
    </row>
    <row r="58" spans="2:7" x14ac:dyDescent="0.25">
      <c r="B58" s="30"/>
      <c r="C58" s="30"/>
      <c r="D58" s="37"/>
      <c r="E58" s="38"/>
      <c r="F58" s="37"/>
      <c r="G58" s="39"/>
    </row>
    <row r="59" spans="2:7" x14ac:dyDescent="0.25">
      <c r="B59" s="30"/>
      <c r="C59" s="30"/>
      <c r="D59" s="37"/>
      <c r="E59" s="38"/>
      <c r="F59" s="37"/>
      <c r="G59" s="39"/>
    </row>
    <row r="60" spans="2:7" x14ac:dyDescent="0.25">
      <c r="B60" s="30"/>
      <c r="C60" s="30"/>
      <c r="D60" s="37"/>
      <c r="E60" s="38"/>
      <c r="F60" s="37"/>
      <c r="G60" s="39"/>
    </row>
    <row r="61" spans="2:7" x14ac:dyDescent="0.25">
      <c r="B61" s="30"/>
      <c r="C61" s="30"/>
      <c r="D61" s="37"/>
      <c r="E61" s="38"/>
      <c r="F61" s="37"/>
      <c r="G61" s="39"/>
    </row>
    <row r="62" spans="2:7" x14ac:dyDescent="0.25">
      <c r="B62" s="30"/>
      <c r="C62" s="30"/>
      <c r="D62" s="37"/>
      <c r="E62" s="38"/>
      <c r="F62" s="37"/>
      <c r="G62" s="39"/>
    </row>
    <row r="63" spans="2:7" x14ac:dyDescent="0.25">
      <c r="B63" s="30"/>
      <c r="C63" s="30"/>
      <c r="D63" s="37"/>
      <c r="E63" s="38"/>
      <c r="F63" s="37"/>
      <c r="G63" s="39"/>
    </row>
    <row r="64" spans="2:7" x14ac:dyDescent="0.25">
      <c r="B64" s="30"/>
      <c r="C64" s="30"/>
      <c r="D64" s="37"/>
      <c r="E64" s="38"/>
      <c r="F64" s="37"/>
      <c r="G64" s="39"/>
    </row>
    <row r="65" spans="2:7" x14ac:dyDescent="0.25">
      <c r="B65" s="30"/>
      <c r="C65" s="30"/>
      <c r="D65" s="37"/>
      <c r="E65" s="38"/>
      <c r="F65" s="37"/>
      <c r="G65" s="39"/>
    </row>
    <row r="66" spans="2:7" x14ac:dyDescent="0.25">
      <c r="B66" s="30"/>
      <c r="C66" s="30"/>
      <c r="D66" s="37"/>
      <c r="E66" s="38"/>
      <c r="F66" s="37"/>
      <c r="G66" s="39"/>
    </row>
    <row r="67" spans="2:7" x14ac:dyDescent="0.25">
      <c r="B67" s="30"/>
      <c r="C67" s="30"/>
      <c r="D67" s="37"/>
      <c r="E67" s="38"/>
      <c r="F67" s="37"/>
      <c r="G67" s="39"/>
    </row>
    <row r="68" spans="2:7" x14ac:dyDescent="0.25">
      <c r="B68" s="30"/>
      <c r="C68" s="30"/>
      <c r="D68" s="37"/>
      <c r="E68" s="38"/>
      <c r="F68" s="37"/>
      <c r="G68" s="39"/>
    </row>
    <row r="69" spans="2:7" x14ac:dyDescent="0.25">
      <c r="B69" s="30"/>
      <c r="C69" s="30"/>
      <c r="D69" s="37"/>
      <c r="E69" s="38"/>
      <c r="F69" s="37"/>
      <c r="G69" s="39"/>
    </row>
    <row r="70" spans="2:7" x14ac:dyDescent="0.25">
      <c r="B70" s="30"/>
      <c r="C70" s="30"/>
      <c r="D70" s="37"/>
      <c r="E70" s="38"/>
      <c r="F70" s="37"/>
      <c r="G70" s="39"/>
    </row>
    <row r="71" spans="2:7" x14ac:dyDescent="0.25">
      <c r="B71" s="30"/>
      <c r="C71" s="30"/>
      <c r="D71" s="37"/>
      <c r="E71" s="38"/>
      <c r="F71" s="37"/>
      <c r="G71" s="39"/>
    </row>
    <row r="72" spans="2:7" x14ac:dyDescent="0.25">
      <c r="B72" s="30"/>
      <c r="C72" s="30"/>
      <c r="D72" s="37"/>
      <c r="E72" s="38"/>
      <c r="F72" s="37"/>
      <c r="G72" s="39"/>
    </row>
    <row r="73" spans="2:7" x14ac:dyDescent="0.25">
      <c r="B73" s="30"/>
      <c r="C73" s="30"/>
      <c r="D73" s="37"/>
      <c r="E73" s="38"/>
      <c r="F73" s="37"/>
      <c r="G73" s="39"/>
    </row>
    <row r="74" spans="2:7" x14ac:dyDescent="0.25">
      <c r="B74" s="30"/>
      <c r="C74" s="30"/>
      <c r="D74" s="37"/>
      <c r="E74" s="38"/>
      <c r="F74" s="37"/>
      <c r="G74" s="39"/>
    </row>
    <row r="75" spans="2:7" x14ac:dyDescent="0.25">
      <c r="B75" s="30"/>
      <c r="C75" s="30"/>
      <c r="D75" s="37"/>
      <c r="E75" s="38"/>
      <c r="F75" s="37"/>
      <c r="G75" s="39"/>
    </row>
    <row r="76" spans="2:7" x14ac:dyDescent="0.25">
      <c r="B76" s="30"/>
      <c r="C76" s="30"/>
      <c r="D76" s="37"/>
      <c r="E76" s="38"/>
      <c r="F76" s="37"/>
      <c r="G76" s="39"/>
    </row>
    <row r="77" spans="2:7" x14ac:dyDescent="0.25">
      <c r="B77" s="30"/>
      <c r="C77" s="30"/>
      <c r="D77" s="37"/>
      <c r="E77" s="38"/>
      <c r="F77" s="37"/>
      <c r="G77" s="39"/>
    </row>
    <row r="78" spans="2:7" x14ac:dyDescent="0.25">
      <c r="B78" s="30"/>
      <c r="C78" s="30"/>
      <c r="D78" s="37"/>
      <c r="E78" s="38"/>
      <c r="F78" s="37"/>
      <c r="G78" s="39"/>
    </row>
    <row r="79" spans="2:7" x14ac:dyDescent="0.25">
      <c r="B79" s="30"/>
      <c r="C79" s="30"/>
      <c r="D79" s="37"/>
      <c r="E79" s="38"/>
      <c r="F79" s="37"/>
      <c r="G79" s="39"/>
    </row>
    <row r="80" spans="2:7" x14ac:dyDescent="0.25">
      <c r="B80" s="30"/>
      <c r="C80" s="30"/>
      <c r="D80" s="37"/>
      <c r="E80" s="38"/>
      <c r="F80" s="37"/>
      <c r="G80" s="39"/>
    </row>
    <row r="81" spans="2:7" x14ac:dyDescent="0.25">
      <c r="B81" s="30"/>
      <c r="C81" s="30"/>
      <c r="D81" s="37"/>
      <c r="E81" s="38"/>
      <c r="F81" s="37"/>
      <c r="G81" s="39"/>
    </row>
    <row r="82" spans="2:7" x14ac:dyDescent="0.25">
      <c r="B82" s="30"/>
      <c r="C82" s="30"/>
      <c r="D82" s="37"/>
      <c r="E82" s="38"/>
      <c r="F82" s="37"/>
      <c r="G82" s="39"/>
    </row>
    <row r="83" spans="2:7" x14ac:dyDescent="0.25">
      <c r="B83" s="30"/>
      <c r="C83" s="30"/>
      <c r="D83" s="37"/>
      <c r="E83" s="38"/>
      <c r="F83" s="37"/>
      <c r="G83" s="39"/>
    </row>
    <row r="84" spans="2:7" x14ac:dyDescent="0.25">
      <c r="B84" s="30"/>
      <c r="C84" s="30"/>
      <c r="D84" s="37"/>
      <c r="E84" s="38"/>
      <c r="F84" s="37"/>
      <c r="G84" s="39"/>
    </row>
    <row r="85" spans="2:7" x14ac:dyDescent="0.25">
      <c r="B85" s="30"/>
      <c r="C85" s="30"/>
      <c r="D85" s="37"/>
      <c r="E85" s="38"/>
      <c r="F85" s="37"/>
      <c r="G85" s="39"/>
    </row>
    <row r="86" spans="2:7" x14ac:dyDescent="0.25">
      <c r="B86" s="30"/>
      <c r="C86" s="30"/>
      <c r="D86" s="37"/>
      <c r="E86" s="38"/>
      <c r="F86" s="37"/>
      <c r="G86" s="39"/>
    </row>
    <row r="87" spans="2:7" x14ac:dyDescent="0.25">
      <c r="B87" s="30"/>
      <c r="C87" s="30"/>
      <c r="D87" s="37"/>
      <c r="E87" s="38"/>
      <c r="F87" s="37"/>
      <c r="G87" s="39"/>
    </row>
    <row r="88" spans="2:7" x14ac:dyDescent="0.25">
      <c r="B88" s="30"/>
      <c r="C88" s="30"/>
      <c r="D88" s="37"/>
      <c r="E88" s="38"/>
      <c r="F88" s="37"/>
      <c r="G88" s="39"/>
    </row>
    <row r="89" spans="2:7" x14ac:dyDescent="0.25">
      <c r="B89" s="30"/>
      <c r="C89" s="30"/>
      <c r="D89" s="37"/>
      <c r="E89" s="38"/>
      <c r="F89" s="37"/>
      <c r="G89" s="39"/>
    </row>
    <row r="90" spans="2:7" x14ac:dyDescent="0.25">
      <c r="B90" s="30"/>
      <c r="C90" s="30"/>
      <c r="D90" s="37"/>
      <c r="E90" s="38"/>
      <c r="F90" s="37"/>
      <c r="G90" s="39"/>
    </row>
    <row r="91" spans="2:7" x14ac:dyDescent="0.25">
      <c r="B91" s="30"/>
      <c r="C91" s="30"/>
      <c r="D91" s="37"/>
      <c r="E91" s="38"/>
      <c r="F91" s="37"/>
      <c r="G91" s="39"/>
    </row>
    <row r="92" spans="2:7" x14ac:dyDescent="0.25">
      <c r="B92" s="30"/>
      <c r="C92" s="30"/>
      <c r="D92" s="37"/>
      <c r="E92" s="38"/>
      <c r="F92" s="37"/>
      <c r="G92" s="39"/>
    </row>
    <row r="93" spans="2:7" x14ac:dyDescent="0.25">
      <c r="B93" s="30"/>
      <c r="C93" s="25"/>
      <c r="D93" s="26"/>
      <c r="E93" s="27"/>
      <c r="F93" s="26"/>
      <c r="G93" s="28"/>
    </row>
    <row r="94" spans="2:7" x14ac:dyDescent="0.25">
      <c r="B94" s="30"/>
      <c r="C94" s="12"/>
      <c r="D94" s="10"/>
      <c r="E94" s="15"/>
      <c r="F94" s="10"/>
      <c r="G94" s="11"/>
    </row>
    <row r="95" spans="2:7" x14ac:dyDescent="0.25">
      <c r="B95" s="30"/>
      <c r="C95" s="12"/>
      <c r="D95" s="10"/>
      <c r="E95" s="15"/>
      <c r="F95" s="10"/>
      <c r="G95" s="11"/>
    </row>
    <row r="96" spans="2:7" x14ac:dyDescent="0.25">
      <c r="B96" s="30"/>
      <c r="C96" s="12"/>
      <c r="D96" s="10"/>
      <c r="E96" s="15"/>
      <c r="F96" s="10"/>
      <c r="G96" s="11"/>
    </row>
    <row r="97" spans="2:7" x14ac:dyDescent="0.25">
      <c r="B97" s="30"/>
      <c r="C97" s="12"/>
      <c r="D97" s="10"/>
      <c r="E97" s="15"/>
      <c r="F97" s="10"/>
      <c r="G97" s="11"/>
    </row>
    <row r="98" spans="2:7" x14ac:dyDescent="0.25">
      <c r="B98" s="30"/>
      <c r="C98" s="12"/>
      <c r="D98" s="10"/>
      <c r="E98" s="15"/>
      <c r="F98" s="10"/>
      <c r="G98" s="11"/>
    </row>
    <row r="99" spans="2:7" x14ac:dyDescent="0.25">
      <c r="B99" s="30"/>
      <c r="C99" s="12"/>
      <c r="D99" s="10"/>
      <c r="E99" s="15"/>
      <c r="F99" s="10"/>
      <c r="G99" s="11"/>
    </row>
    <row r="100" spans="2:7" x14ac:dyDescent="0.25">
      <c r="B100" s="30"/>
      <c r="C100" s="12"/>
      <c r="D100" s="10"/>
      <c r="E100" s="15"/>
      <c r="F100" s="10"/>
      <c r="G100" s="11"/>
    </row>
    <row r="101" spans="2:7" x14ac:dyDescent="0.25">
      <c r="B101" s="30"/>
      <c r="C101" s="12"/>
      <c r="D101" s="10"/>
      <c r="E101" s="15"/>
      <c r="F101" s="10"/>
      <c r="G101" s="11"/>
    </row>
    <row r="102" spans="2:7" x14ac:dyDescent="0.25">
      <c r="B102" s="30"/>
      <c r="C102" s="12"/>
      <c r="D102" s="10"/>
      <c r="E102" s="15"/>
      <c r="F102" s="10"/>
      <c r="G102" s="11"/>
    </row>
    <row r="103" spans="2:7" x14ac:dyDescent="0.25">
      <c r="B103" s="30"/>
      <c r="C103" s="12"/>
      <c r="D103" s="10"/>
      <c r="E103" s="15"/>
      <c r="F103" s="10"/>
      <c r="G103" s="11"/>
    </row>
    <row r="104" spans="2:7" x14ac:dyDescent="0.25">
      <c r="B104" s="30"/>
      <c r="C104" s="12"/>
      <c r="D104" s="10"/>
      <c r="E104" s="15"/>
      <c r="F104" s="10"/>
      <c r="G104" s="11"/>
    </row>
    <row r="105" spans="2:7" x14ac:dyDescent="0.25">
      <c r="B105" s="30"/>
      <c r="C105" s="12"/>
      <c r="D105" s="10"/>
      <c r="E105" s="15"/>
      <c r="F105" s="10"/>
      <c r="G105" s="11"/>
    </row>
    <row r="106" spans="2:7" x14ac:dyDescent="0.25">
      <c r="B106" s="30"/>
      <c r="C106" s="12"/>
      <c r="D106" s="10"/>
      <c r="E106" s="15"/>
      <c r="F106" s="10"/>
      <c r="G106" s="11"/>
    </row>
    <row r="107" spans="2:7" x14ac:dyDescent="0.25">
      <c r="B107" s="30"/>
      <c r="C107" s="12"/>
      <c r="D107" s="10"/>
      <c r="E107" s="15"/>
      <c r="F107" s="10"/>
      <c r="G107" s="11"/>
    </row>
    <row r="108" spans="2:7" x14ac:dyDescent="0.25">
      <c r="B108" s="30"/>
      <c r="C108" s="12"/>
      <c r="D108" s="10"/>
      <c r="E108" s="15"/>
      <c r="F108" s="10"/>
      <c r="G108" s="11"/>
    </row>
    <row r="109" spans="2:7" x14ac:dyDescent="0.25">
      <c r="B109" s="30"/>
      <c r="C109" s="12"/>
      <c r="D109" s="10"/>
      <c r="E109" s="15"/>
      <c r="F109" s="10"/>
      <c r="G109" s="11"/>
    </row>
    <row r="110" spans="2:7" x14ac:dyDescent="0.25">
      <c r="B110" s="5" t="s">
        <v>38</v>
      </c>
      <c r="C110" s="5" t="s">
        <v>38</v>
      </c>
      <c r="D110" s="5"/>
      <c r="E110" s="5"/>
      <c r="F110" s="5"/>
      <c r="G110" s="6">
        <f>SUM(G10:G109)</f>
        <v>0</v>
      </c>
    </row>
  </sheetData>
  <autoFilter ref="B9:G93" xr:uid="{00000000-0001-0000-0200-000000000000}"/>
  <mergeCells count="3">
    <mergeCell ref="B1:K1"/>
    <mergeCell ref="B8:G8"/>
    <mergeCell ref="I8:K8"/>
  </mergeCells>
  <dataValidations count="1">
    <dataValidation type="list" allowBlank="1" showInputMessage="1" showErrorMessage="1" sqref="F10:F109" xr:uid="{05CEC854-9D52-42DD-B389-69EE125BCCF6}">
      <formula1>$I$10:$I$20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621E0F-EFBA-44B3-9B7A-52D4E36717A1}">
          <x14:formula1>
            <xm:f>Resumo!$B$6:$B$17</xm:f>
          </x14:formula1>
          <xm:sqref>D2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414B-FB4D-4CD4-B9C7-CECF2644D78C}">
  <sheetPr>
    <tabColor theme="3"/>
  </sheetPr>
  <dimension ref="A1:M61"/>
  <sheetViews>
    <sheetView showGridLines="0" zoomScaleNormal="100" workbookViewId="0">
      <selection activeCell="L26" sqref="L26"/>
    </sheetView>
  </sheetViews>
  <sheetFormatPr defaultColWidth="8.7109375" defaultRowHeight="15" x14ac:dyDescent="0.25"/>
  <cols>
    <col min="1" max="1" width="2" customWidth="1"/>
    <col min="2" max="2" width="22" customWidth="1"/>
    <col min="3" max="3" width="14" customWidth="1"/>
    <col min="4" max="4" width="4" customWidth="1"/>
    <col min="5" max="5" width="11" style="18" customWidth="1"/>
    <col min="6" max="6" width="26" customWidth="1"/>
    <col min="7" max="7" width="25.7109375" bestFit="1" customWidth="1"/>
    <col min="8" max="8" width="12" customWidth="1"/>
    <col min="9" max="9" width="12.7109375" customWidth="1"/>
    <col min="10" max="10" width="2" customWidth="1"/>
    <col min="11" max="11" width="26" customWidth="1"/>
    <col min="12" max="12" width="13" customWidth="1"/>
    <col min="13" max="13" width="9.7109375" customWidth="1"/>
  </cols>
  <sheetData>
    <row r="1" spans="1:13" ht="24" customHeight="1" x14ac:dyDescent="0.25">
      <c r="B1" s="45" t="s">
        <v>25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x14ac:dyDescent="0.25">
      <c r="B2" s="7" t="s">
        <v>26</v>
      </c>
      <c r="C2" s="9" t="s">
        <v>17</v>
      </c>
      <c r="D2" s="8" t="s">
        <v>27</v>
      </c>
    </row>
    <row r="4" spans="1:13" x14ac:dyDescent="0.25">
      <c r="B4" s="5" t="s">
        <v>28</v>
      </c>
      <c r="C4" s="6">
        <f>C21</f>
        <v>0</v>
      </c>
      <c r="G4" s="5" t="s">
        <v>71</v>
      </c>
      <c r="H4" s="6">
        <f>SUMIF($I$11:$I$60,"Pago",$H$11:$H$60)</f>
        <v>0</v>
      </c>
    </row>
    <row r="5" spans="1:13" x14ac:dyDescent="0.25">
      <c r="B5" s="5" t="s">
        <v>29</v>
      </c>
      <c r="C5" s="6">
        <f>L20</f>
        <v>0</v>
      </c>
      <c r="G5" s="5" t="s">
        <v>72</v>
      </c>
      <c r="H5" s="6">
        <f>SUMIF($I$11:$I$60,"Não pago",$H$11:$H$60)</f>
        <v>0</v>
      </c>
    </row>
    <row r="6" spans="1:13" x14ac:dyDescent="0.25">
      <c r="B6" s="5" t="s">
        <v>30</v>
      </c>
      <c r="C6" s="6">
        <f>C4-C5</f>
        <v>0</v>
      </c>
    </row>
    <row r="8" spans="1:13" x14ac:dyDescent="0.25">
      <c r="A8" s="18"/>
      <c r="B8" s="18"/>
      <c r="C8" s="18"/>
      <c r="D8" s="18"/>
    </row>
    <row r="9" spans="1:13" ht="16.5" x14ac:dyDescent="0.25">
      <c r="B9" s="45" t="s">
        <v>31</v>
      </c>
      <c r="C9" s="45"/>
      <c r="E9" s="45" t="s">
        <v>32</v>
      </c>
      <c r="F9" s="45"/>
      <c r="G9" s="45"/>
      <c r="H9" s="45"/>
      <c r="I9" s="45"/>
      <c r="K9" s="45" t="s">
        <v>33</v>
      </c>
      <c r="L9" s="45"/>
      <c r="M9" s="45"/>
    </row>
    <row r="10" spans="1:13" x14ac:dyDescent="0.25">
      <c r="B10" s="1" t="s">
        <v>34</v>
      </c>
      <c r="C10" s="1" t="s">
        <v>35</v>
      </c>
      <c r="E10" s="17" t="s">
        <v>36</v>
      </c>
      <c r="F10" s="1" t="s">
        <v>34</v>
      </c>
      <c r="G10" s="1" t="s">
        <v>37</v>
      </c>
      <c r="H10" s="1" t="s">
        <v>35</v>
      </c>
      <c r="I10" s="1" t="s">
        <v>70</v>
      </c>
      <c r="K10" s="1" t="s">
        <v>37</v>
      </c>
      <c r="L10" s="1" t="s">
        <v>38</v>
      </c>
      <c r="M10" s="1" t="s">
        <v>39</v>
      </c>
    </row>
    <row r="11" spans="1:13" x14ac:dyDescent="0.25">
      <c r="B11" s="10"/>
      <c r="C11" s="11"/>
      <c r="E11" s="16"/>
      <c r="F11" s="10"/>
      <c r="G11" s="10"/>
      <c r="H11" s="20"/>
      <c r="I11" s="23"/>
      <c r="K11" s="21" t="s">
        <v>40</v>
      </c>
      <c r="L11" s="4">
        <f t="shared" ref="L11:L18" si="0">SUMIF($G$11:$G$60,K11,$H$11:$H$60)</f>
        <v>0</v>
      </c>
      <c r="M11" s="13">
        <f t="shared" ref="M11:M18" si="1">IF($L$20=0,0,L11/$L$20)</f>
        <v>0</v>
      </c>
    </row>
    <row r="12" spans="1:13" x14ac:dyDescent="0.25">
      <c r="B12" s="10"/>
      <c r="C12" s="11"/>
      <c r="E12" s="16"/>
      <c r="F12" s="10"/>
      <c r="G12" s="10"/>
      <c r="H12" s="20"/>
      <c r="I12" s="23"/>
      <c r="K12" s="21" t="s">
        <v>41</v>
      </c>
      <c r="L12" s="4">
        <f t="shared" si="0"/>
        <v>0</v>
      </c>
      <c r="M12" s="13">
        <f t="shared" si="1"/>
        <v>0</v>
      </c>
    </row>
    <row r="13" spans="1:13" x14ac:dyDescent="0.25">
      <c r="B13" s="10"/>
      <c r="C13" s="11"/>
      <c r="E13" s="16"/>
      <c r="F13" s="10"/>
      <c r="G13" s="10"/>
      <c r="H13" s="20"/>
      <c r="I13" s="23"/>
      <c r="K13" s="21" t="s">
        <v>42</v>
      </c>
      <c r="L13" s="4">
        <f t="shared" si="0"/>
        <v>0</v>
      </c>
      <c r="M13" s="13">
        <f t="shared" si="1"/>
        <v>0</v>
      </c>
    </row>
    <row r="14" spans="1:13" x14ac:dyDescent="0.25">
      <c r="B14" s="10"/>
      <c r="C14" s="11"/>
      <c r="E14" s="16"/>
      <c r="F14" s="10"/>
      <c r="G14" s="10"/>
      <c r="H14" s="20"/>
      <c r="I14" s="23"/>
      <c r="K14" s="21" t="s">
        <v>43</v>
      </c>
      <c r="L14" s="4">
        <f t="shared" si="0"/>
        <v>0</v>
      </c>
      <c r="M14" s="13">
        <f t="shared" si="1"/>
        <v>0</v>
      </c>
    </row>
    <row r="15" spans="1:13" x14ac:dyDescent="0.25">
      <c r="B15" s="10"/>
      <c r="C15" s="11"/>
      <c r="E15" s="16"/>
      <c r="F15" s="10"/>
      <c r="G15" s="10"/>
      <c r="H15" s="20"/>
      <c r="I15" s="23"/>
      <c r="K15" s="21" t="s">
        <v>44</v>
      </c>
      <c r="L15" s="4">
        <f t="shared" si="0"/>
        <v>0</v>
      </c>
      <c r="M15" s="13">
        <f t="shared" si="1"/>
        <v>0</v>
      </c>
    </row>
    <row r="16" spans="1:13" x14ac:dyDescent="0.25">
      <c r="B16" s="10"/>
      <c r="C16" s="11"/>
      <c r="E16" s="16"/>
      <c r="F16" s="10"/>
      <c r="G16" s="10"/>
      <c r="H16" s="20"/>
      <c r="I16" s="23"/>
      <c r="K16" s="21" t="s">
        <v>45</v>
      </c>
      <c r="L16" s="4">
        <f t="shared" si="0"/>
        <v>0</v>
      </c>
      <c r="M16" s="13">
        <f t="shared" si="1"/>
        <v>0</v>
      </c>
    </row>
    <row r="17" spans="2:13" x14ac:dyDescent="0.25">
      <c r="B17" s="10"/>
      <c r="C17" s="11"/>
      <c r="E17" s="16"/>
      <c r="F17" s="10"/>
      <c r="G17" s="10"/>
      <c r="H17" s="20"/>
      <c r="I17" s="23"/>
      <c r="K17" s="21" t="s">
        <v>46</v>
      </c>
      <c r="L17" s="4">
        <f t="shared" si="0"/>
        <v>0</v>
      </c>
      <c r="M17" s="13">
        <f t="shared" si="1"/>
        <v>0</v>
      </c>
    </row>
    <row r="18" spans="2:13" x14ac:dyDescent="0.25">
      <c r="B18" s="10"/>
      <c r="C18" s="11"/>
      <c r="E18" s="16"/>
      <c r="F18" s="10"/>
      <c r="G18" s="10"/>
      <c r="H18" s="20"/>
      <c r="I18" s="23"/>
      <c r="K18" s="21" t="s">
        <v>47</v>
      </c>
      <c r="L18" s="4">
        <f t="shared" si="0"/>
        <v>0</v>
      </c>
      <c r="M18" s="13">
        <f t="shared" si="1"/>
        <v>0</v>
      </c>
    </row>
    <row r="19" spans="2:13" x14ac:dyDescent="0.25">
      <c r="B19" s="10"/>
      <c r="C19" s="11"/>
      <c r="E19" s="16"/>
      <c r="F19" s="10"/>
      <c r="G19" s="10"/>
      <c r="H19" s="20"/>
      <c r="I19" s="23"/>
      <c r="K19" s="21" t="s">
        <v>48</v>
      </c>
      <c r="L19" s="3">
        <f>IFERROR('Novembro-Cartão'!D4,0)</f>
        <v>0</v>
      </c>
      <c r="M19" s="13">
        <f>IF($L$20=0,0,L19/$L$20)</f>
        <v>0</v>
      </c>
    </row>
    <row r="20" spans="2:13" x14ac:dyDescent="0.25">
      <c r="B20" s="10"/>
      <c r="C20" s="11"/>
      <c r="E20" s="16"/>
      <c r="F20" s="10"/>
      <c r="G20" s="10"/>
      <c r="H20" s="20"/>
      <c r="I20" s="23"/>
      <c r="K20" s="22" t="s">
        <v>38</v>
      </c>
      <c r="L20" s="6">
        <f>SUM(L11:L19)</f>
        <v>0</v>
      </c>
      <c r="M20" s="14">
        <f>IF(L20=0,0,L20/L20)</f>
        <v>0</v>
      </c>
    </row>
    <row r="21" spans="2:13" x14ac:dyDescent="0.25">
      <c r="B21" s="5" t="s">
        <v>38</v>
      </c>
      <c r="C21" s="6">
        <f>SUM(C11:C20)</f>
        <v>0</v>
      </c>
      <c r="E21" s="16"/>
      <c r="F21" s="10"/>
      <c r="G21" s="10"/>
      <c r="H21" s="20"/>
      <c r="I21" s="23"/>
    </row>
    <row r="22" spans="2:13" x14ac:dyDescent="0.25">
      <c r="E22" s="16"/>
      <c r="F22" s="10"/>
      <c r="G22" s="10"/>
      <c r="H22" s="20"/>
      <c r="I22" s="23"/>
      <c r="K22" s="44" t="s">
        <v>49</v>
      </c>
      <c r="L22" s="44"/>
      <c r="M22" s="44"/>
    </row>
    <row r="23" spans="2:13" x14ac:dyDescent="0.25">
      <c r="E23" s="16"/>
      <c r="F23" s="10"/>
      <c r="G23" s="10"/>
      <c r="H23" s="20"/>
      <c r="I23" s="23"/>
      <c r="K23" s="44"/>
      <c r="L23" s="44"/>
      <c r="M23" s="44"/>
    </row>
    <row r="24" spans="2:13" x14ac:dyDescent="0.25">
      <c r="E24" s="16"/>
      <c r="F24" s="10"/>
      <c r="G24" s="10"/>
      <c r="H24" s="20"/>
      <c r="I24" s="23"/>
    </row>
    <row r="25" spans="2:13" x14ac:dyDescent="0.25">
      <c r="E25" s="16"/>
      <c r="F25" s="10"/>
      <c r="G25" s="10"/>
      <c r="H25" s="20"/>
      <c r="I25" s="23"/>
    </row>
    <row r="26" spans="2:13" x14ac:dyDescent="0.25">
      <c r="E26" s="16"/>
      <c r="F26" s="10"/>
      <c r="G26" s="10"/>
      <c r="H26" s="20"/>
      <c r="I26" s="23"/>
    </row>
    <row r="27" spans="2:13" x14ac:dyDescent="0.25">
      <c r="E27" s="16"/>
      <c r="F27" s="10"/>
      <c r="G27" s="10"/>
      <c r="H27" s="20"/>
      <c r="I27" s="23"/>
    </row>
    <row r="28" spans="2:13" x14ac:dyDescent="0.25">
      <c r="E28" s="16"/>
      <c r="F28" s="10"/>
      <c r="G28" s="10"/>
      <c r="H28" s="20"/>
      <c r="I28" s="23"/>
    </row>
    <row r="29" spans="2:13" x14ac:dyDescent="0.25">
      <c r="E29" s="16"/>
      <c r="F29" s="10"/>
      <c r="G29" s="10"/>
      <c r="H29" s="20"/>
      <c r="I29" s="23"/>
    </row>
    <row r="30" spans="2:13" x14ac:dyDescent="0.25">
      <c r="E30" s="16"/>
      <c r="F30" s="10"/>
      <c r="G30" s="10"/>
      <c r="H30" s="20"/>
      <c r="I30" s="23"/>
    </row>
    <row r="31" spans="2:13" x14ac:dyDescent="0.25">
      <c r="E31" s="16"/>
      <c r="F31" s="10"/>
      <c r="G31" s="10"/>
      <c r="H31" s="20"/>
      <c r="I31" s="23"/>
    </row>
    <row r="32" spans="2:13" x14ac:dyDescent="0.25">
      <c r="E32" s="16"/>
      <c r="F32" s="10"/>
      <c r="G32" s="10"/>
      <c r="H32" s="20"/>
      <c r="I32" s="23"/>
    </row>
    <row r="33" spans="5:9" x14ac:dyDescent="0.25">
      <c r="E33" s="16"/>
      <c r="F33" s="10"/>
      <c r="G33" s="10"/>
      <c r="H33" s="20"/>
      <c r="I33" s="23"/>
    </row>
    <row r="34" spans="5:9" x14ac:dyDescent="0.25">
      <c r="E34" s="16"/>
      <c r="F34" s="10"/>
      <c r="G34" s="10"/>
      <c r="H34" s="20"/>
      <c r="I34" s="23"/>
    </row>
    <row r="35" spans="5:9" x14ac:dyDescent="0.25">
      <c r="E35" s="16"/>
      <c r="F35" s="10"/>
      <c r="G35" s="10"/>
      <c r="H35" s="20"/>
      <c r="I35" s="23"/>
    </row>
    <row r="36" spans="5:9" x14ac:dyDescent="0.25">
      <c r="E36" s="16"/>
      <c r="F36" s="10"/>
      <c r="G36" s="10"/>
      <c r="H36" s="20"/>
      <c r="I36" s="23"/>
    </row>
    <row r="37" spans="5:9" x14ac:dyDescent="0.25">
      <c r="E37" s="16"/>
      <c r="F37" s="10"/>
      <c r="G37" s="10"/>
      <c r="H37" s="20"/>
      <c r="I37" s="23"/>
    </row>
    <row r="38" spans="5:9" x14ac:dyDescent="0.25">
      <c r="E38" s="16"/>
      <c r="F38" s="10"/>
      <c r="G38" s="10"/>
      <c r="H38" s="20"/>
      <c r="I38" s="23"/>
    </row>
    <row r="39" spans="5:9" x14ac:dyDescent="0.25">
      <c r="E39" s="16"/>
      <c r="F39" s="10"/>
      <c r="G39" s="10"/>
      <c r="H39" s="20"/>
      <c r="I39" s="23"/>
    </row>
    <row r="40" spans="5:9" x14ac:dyDescent="0.25">
      <c r="E40" s="16"/>
      <c r="F40" s="10"/>
      <c r="G40" s="10"/>
      <c r="H40" s="20"/>
      <c r="I40" s="23"/>
    </row>
    <row r="41" spans="5:9" x14ac:dyDescent="0.25">
      <c r="E41" s="16"/>
      <c r="F41" s="10"/>
      <c r="G41" s="10"/>
      <c r="H41" s="20"/>
      <c r="I41" s="23"/>
    </row>
    <row r="42" spans="5:9" x14ac:dyDescent="0.25">
      <c r="E42" s="16"/>
      <c r="F42" s="10"/>
      <c r="G42" s="10"/>
      <c r="H42" s="20"/>
      <c r="I42" s="23"/>
    </row>
    <row r="43" spans="5:9" x14ac:dyDescent="0.25">
      <c r="E43" s="16"/>
      <c r="F43" s="10"/>
      <c r="G43" s="10"/>
      <c r="H43" s="20"/>
      <c r="I43" s="23"/>
    </row>
    <row r="44" spans="5:9" x14ac:dyDescent="0.25">
      <c r="E44" s="16"/>
      <c r="F44" s="10"/>
      <c r="G44" s="10"/>
      <c r="H44" s="20"/>
      <c r="I44" s="23"/>
    </row>
    <row r="45" spans="5:9" x14ac:dyDescent="0.25">
      <c r="E45" s="16"/>
      <c r="F45" s="10"/>
      <c r="G45" s="10"/>
      <c r="H45" s="20"/>
      <c r="I45" s="23"/>
    </row>
    <row r="46" spans="5:9" x14ac:dyDescent="0.25">
      <c r="E46" s="16"/>
      <c r="F46" s="10"/>
      <c r="G46" s="10"/>
      <c r="H46" s="20"/>
      <c r="I46" s="23"/>
    </row>
    <row r="47" spans="5:9" x14ac:dyDescent="0.25">
      <c r="E47" s="16"/>
      <c r="F47" s="10"/>
      <c r="G47" s="10"/>
      <c r="H47" s="20"/>
      <c r="I47" s="23"/>
    </row>
    <row r="48" spans="5:9" x14ac:dyDescent="0.25">
      <c r="E48" s="16"/>
      <c r="F48" s="10"/>
      <c r="G48" s="10"/>
      <c r="H48" s="20"/>
      <c r="I48" s="23"/>
    </row>
    <row r="49" spans="5:10" x14ac:dyDescent="0.25">
      <c r="E49" s="16"/>
      <c r="F49" s="10"/>
      <c r="G49" s="10"/>
      <c r="H49" s="20"/>
      <c r="I49" s="23"/>
    </row>
    <row r="50" spans="5:10" x14ac:dyDescent="0.25">
      <c r="E50" s="16"/>
      <c r="F50" s="10"/>
      <c r="G50" s="10"/>
      <c r="H50" s="20"/>
      <c r="I50" s="23"/>
    </row>
    <row r="51" spans="5:10" x14ac:dyDescent="0.25">
      <c r="E51" s="16"/>
      <c r="F51" s="10"/>
      <c r="G51" s="10"/>
      <c r="H51" s="20"/>
      <c r="I51" s="23"/>
    </row>
    <row r="52" spans="5:10" x14ac:dyDescent="0.25">
      <c r="E52" s="16"/>
      <c r="F52" s="10"/>
      <c r="G52" s="10"/>
      <c r="H52" s="20"/>
      <c r="I52" s="23"/>
      <c r="J52" s="24"/>
    </row>
    <row r="53" spans="5:10" x14ac:dyDescent="0.25">
      <c r="E53" s="16"/>
      <c r="F53" s="10"/>
      <c r="G53" s="10"/>
      <c r="H53" s="20"/>
      <c r="I53" s="23"/>
      <c r="J53" s="24"/>
    </row>
    <row r="54" spans="5:10" x14ac:dyDescent="0.25">
      <c r="E54" s="16"/>
      <c r="F54" s="10"/>
      <c r="G54" s="10"/>
      <c r="H54" s="20"/>
      <c r="I54" s="23"/>
      <c r="J54" s="24"/>
    </row>
    <row r="55" spans="5:10" x14ac:dyDescent="0.25">
      <c r="E55" s="16"/>
      <c r="F55" s="10"/>
      <c r="G55" s="10"/>
      <c r="H55" s="20"/>
      <c r="I55" s="23"/>
      <c r="J55" s="24"/>
    </row>
    <row r="56" spans="5:10" x14ac:dyDescent="0.25">
      <c r="E56" s="16"/>
      <c r="F56" s="10"/>
      <c r="G56" s="10"/>
      <c r="H56" s="20"/>
      <c r="I56" s="23"/>
      <c r="J56" s="24"/>
    </row>
    <row r="57" spans="5:10" x14ac:dyDescent="0.25">
      <c r="E57" s="16"/>
      <c r="F57" s="10"/>
      <c r="G57" s="10"/>
      <c r="H57" s="20"/>
      <c r="I57" s="23"/>
      <c r="J57" s="24"/>
    </row>
    <row r="58" spans="5:10" x14ac:dyDescent="0.25">
      <c r="E58" s="16"/>
      <c r="F58" s="10"/>
      <c r="G58" s="10"/>
      <c r="H58" s="20"/>
      <c r="I58" s="23"/>
      <c r="J58" s="24"/>
    </row>
    <row r="59" spans="5:10" x14ac:dyDescent="0.25">
      <c r="E59" s="16"/>
      <c r="F59" s="10"/>
      <c r="G59" s="10"/>
      <c r="H59" s="20"/>
      <c r="I59" s="23"/>
      <c r="J59" s="24"/>
    </row>
    <row r="60" spans="5:10" x14ac:dyDescent="0.25">
      <c r="E60" s="16"/>
      <c r="F60" s="10"/>
      <c r="G60" s="10"/>
      <c r="H60" s="20"/>
      <c r="I60" s="23"/>
      <c r="J60" s="24"/>
    </row>
    <row r="61" spans="5:10" x14ac:dyDescent="0.25">
      <c r="E61" s="19" t="s">
        <v>50</v>
      </c>
      <c r="F61" s="5"/>
      <c r="G61" s="5"/>
      <c r="H61" s="6">
        <f>SUM(H11:H60)</f>
        <v>0</v>
      </c>
    </row>
  </sheetData>
  <mergeCells count="5">
    <mergeCell ref="B1:M1"/>
    <mergeCell ref="B9:C9"/>
    <mergeCell ref="E9:I9"/>
    <mergeCell ref="K9:M9"/>
    <mergeCell ref="K22:M23"/>
  </mergeCells>
  <conditionalFormatting sqref="I11:I51 I52:J60">
    <cfRule type="cellIs" dxfId="3" priority="1" operator="equal">
      <formula>"Pago"</formula>
    </cfRule>
    <cfRule type="cellIs" dxfId="2" priority="2" operator="equal">
      <formula>"Não pago"</formula>
    </cfRule>
  </conditionalFormatting>
  <dataValidations count="2">
    <dataValidation type="list" allowBlank="1" showInputMessage="1" showErrorMessage="1" sqref="J52:J60 I11:I60" xr:uid="{37273609-C7CD-4419-B670-362F4C1D27DB}">
      <formula1>"Pago,Não pago"</formula1>
    </dataValidation>
    <dataValidation type="list" allowBlank="1" error="Escolha uma categoria da lista" sqref="G11:G60" xr:uid="{42D50508-B85D-493A-B7E8-57DD3FC6822E}">
      <formula1>$K$11:$K$18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4466CD-79C2-4BE9-B3A5-17254158F775}">
          <x14:formula1>
            <xm:f>Resumo!$B$6:$B$17</xm:f>
          </x14:formula1>
          <xm:sqref>C2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47FF-ECAC-45FE-B56C-3AE1F6DF1A9B}">
  <sheetPr>
    <tabColor theme="3"/>
  </sheetPr>
  <dimension ref="B1:K110"/>
  <sheetViews>
    <sheetView showGridLines="0" zoomScaleNormal="100" workbookViewId="0">
      <selection activeCell="L26" sqref="L26"/>
    </sheetView>
  </sheetViews>
  <sheetFormatPr defaultColWidth="8.7109375" defaultRowHeight="15" x14ac:dyDescent="0.25"/>
  <cols>
    <col min="1" max="1" width="2" customWidth="1"/>
    <col min="2" max="2" width="15.5703125" customWidth="1"/>
    <col min="3" max="3" width="15" bestFit="1" customWidth="1"/>
    <col min="4" max="4" width="30" customWidth="1"/>
    <col min="5" max="5" width="9" customWidth="1"/>
    <col min="6" max="6" width="24" customWidth="1"/>
    <col min="7" max="7" width="12" customWidth="1"/>
    <col min="8" max="8" width="2" customWidth="1"/>
    <col min="9" max="9" width="24" customWidth="1"/>
    <col min="10" max="10" width="13" customWidth="1"/>
    <col min="11" max="11" width="8" customWidth="1"/>
  </cols>
  <sheetData>
    <row r="1" spans="2:11" ht="24" customHeight="1" x14ac:dyDescent="0.25">
      <c r="B1" s="45" t="s">
        <v>51</v>
      </c>
      <c r="C1" s="45"/>
      <c r="D1" s="45"/>
      <c r="E1" s="45"/>
      <c r="F1" s="45"/>
      <c r="G1" s="45"/>
      <c r="H1" s="45"/>
      <c r="I1" s="45"/>
      <c r="J1" s="45"/>
      <c r="K1" s="45"/>
    </row>
    <row r="2" spans="2:11" x14ac:dyDescent="0.25">
      <c r="C2" s="7" t="s">
        <v>26</v>
      </c>
      <c r="D2" s="9" t="s">
        <v>17</v>
      </c>
      <c r="E2" s="8" t="s">
        <v>52</v>
      </c>
    </row>
    <row r="3" spans="2:11" x14ac:dyDescent="0.25">
      <c r="I3" s="5" t="s">
        <v>145</v>
      </c>
      <c r="J3" s="6">
        <f>SUMIFS(G:G,B:B,I3)</f>
        <v>0</v>
      </c>
    </row>
    <row r="4" spans="2:11" x14ac:dyDescent="0.25">
      <c r="C4" s="5" t="s">
        <v>53</v>
      </c>
      <c r="D4" s="6">
        <f>G110</f>
        <v>0</v>
      </c>
      <c r="I4" s="5" t="s">
        <v>146</v>
      </c>
      <c r="J4" s="6">
        <f>SUMIFS(G:G,B:B,I4)</f>
        <v>0</v>
      </c>
    </row>
    <row r="5" spans="2:11" x14ac:dyDescent="0.25">
      <c r="I5" s="5" t="s">
        <v>147</v>
      </c>
      <c r="J5" s="6">
        <f>SUMIFS(G:G,B:B,I5)</f>
        <v>0</v>
      </c>
    </row>
    <row r="6" spans="2:11" x14ac:dyDescent="0.25">
      <c r="I6" s="43" t="s">
        <v>148</v>
      </c>
      <c r="J6" s="6">
        <f>SUM(J3:J5)</f>
        <v>0</v>
      </c>
    </row>
    <row r="8" spans="2:11" ht="16.5" x14ac:dyDescent="0.25">
      <c r="B8" s="45" t="s">
        <v>54</v>
      </c>
      <c r="C8" s="45"/>
      <c r="D8" s="45"/>
      <c r="E8" s="45"/>
      <c r="F8" s="45"/>
      <c r="G8" s="45"/>
      <c r="I8" s="45" t="s">
        <v>55</v>
      </c>
      <c r="J8" s="45"/>
      <c r="K8" s="45"/>
    </row>
    <row r="9" spans="2:11" x14ac:dyDescent="0.25">
      <c r="B9" s="1" t="s">
        <v>144</v>
      </c>
      <c r="C9" s="1" t="s">
        <v>36</v>
      </c>
      <c r="D9" s="1" t="s">
        <v>34</v>
      </c>
      <c r="E9" s="1" t="s">
        <v>56</v>
      </c>
      <c r="F9" s="1" t="s">
        <v>37</v>
      </c>
      <c r="G9" s="1" t="s">
        <v>35</v>
      </c>
      <c r="I9" s="1" t="s">
        <v>37</v>
      </c>
      <c r="J9" s="1" t="s">
        <v>38</v>
      </c>
      <c r="K9" s="1" t="s">
        <v>39</v>
      </c>
    </row>
    <row r="10" spans="2:11" x14ac:dyDescent="0.25">
      <c r="B10" s="16"/>
      <c r="C10" s="16"/>
      <c r="D10" s="31"/>
      <c r="E10" s="32"/>
      <c r="F10" s="31"/>
      <c r="G10" s="33"/>
      <c r="I10" s="40" t="s">
        <v>42</v>
      </c>
      <c r="J10" s="41">
        <f t="shared" ref="J10:J20" si="0">SUMIF($F$10:$F$109,I10,$G$10:$G$109)</f>
        <v>0</v>
      </c>
      <c r="K10" s="42">
        <f t="shared" ref="K10:K20" si="1">IF($J$21=0,0,J10/$J$21)</f>
        <v>0</v>
      </c>
    </row>
    <row r="11" spans="2:11" x14ac:dyDescent="0.25">
      <c r="B11" s="16"/>
      <c r="C11" s="16"/>
      <c r="D11" s="31"/>
      <c r="E11" s="32"/>
      <c r="F11" s="31"/>
      <c r="G11" s="33"/>
      <c r="I11" s="40" t="s">
        <v>57</v>
      </c>
      <c r="J11" s="41">
        <f t="shared" si="0"/>
        <v>0</v>
      </c>
      <c r="K11" s="42">
        <f t="shared" si="1"/>
        <v>0</v>
      </c>
    </row>
    <row r="12" spans="2:11" x14ac:dyDescent="0.25">
      <c r="B12" s="16"/>
      <c r="C12" s="16"/>
      <c r="D12" s="31"/>
      <c r="E12" s="32"/>
      <c r="F12" s="31"/>
      <c r="G12" s="33"/>
      <c r="I12" s="40" t="s">
        <v>58</v>
      </c>
      <c r="J12" s="41">
        <f t="shared" si="0"/>
        <v>0</v>
      </c>
      <c r="K12" s="42">
        <f t="shared" si="1"/>
        <v>0</v>
      </c>
    </row>
    <row r="13" spans="2:11" x14ac:dyDescent="0.25">
      <c r="B13" s="16"/>
      <c r="C13" s="16"/>
      <c r="D13" s="31"/>
      <c r="E13" s="32"/>
      <c r="F13" s="31"/>
      <c r="G13" s="33"/>
      <c r="I13" s="40" t="s">
        <v>59</v>
      </c>
      <c r="J13" s="41">
        <f t="shared" si="0"/>
        <v>0</v>
      </c>
      <c r="K13" s="42">
        <f t="shared" si="1"/>
        <v>0</v>
      </c>
    </row>
    <row r="14" spans="2:11" x14ac:dyDescent="0.25">
      <c r="B14" s="29"/>
      <c r="C14" s="29"/>
      <c r="D14" s="34"/>
      <c r="E14" s="35"/>
      <c r="F14" s="34"/>
      <c r="G14" s="36"/>
      <c r="I14" s="40" t="s">
        <v>60</v>
      </c>
      <c r="J14" s="41">
        <f t="shared" si="0"/>
        <v>0</v>
      </c>
      <c r="K14" s="42">
        <f t="shared" si="1"/>
        <v>0</v>
      </c>
    </row>
    <row r="15" spans="2:11" x14ac:dyDescent="0.25">
      <c r="B15" s="30"/>
      <c r="C15" s="30"/>
      <c r="D15" s="37"/>
      <c r="E15" s="38"/>
      <c r="F15" s="37"/>
      <c r="G15" s="39"/>
      <c r="I15" s="40" t="s">
        <v>61</v>
      </c>
      <c r="J15" s="41">
        <f t="shared" si="0"/>
        <v>0</v>
      </c>
      <c r="K15" s="42">
        <f t="shared" si="1"/>
        <v>0</v>
      </c>
    </row>
    <row r="16" spans="2:11" x14ac:dyDescent="0.25">
      <c r="B16" s="30"/>
      <c r="C16" s="30"/>
      <c r="D16" s="37"/>
      <c r="E16" s="38"/>
      <c r="F16" s="37"/>
      <c r="G16" s="39"/>
      <c r="I16" s="40" t="s">
        <v>62</v>
      </c>
      <c r="J16" s="41">
        <f t="shared" si="0"/>
        <v>0</v>
      </c>
      <c r="K16" s="42">
        <f t="shared" si="1"/>
        <v>0</v>
      </c>
    </row>
    <row r="17" spans="2:11" x14ac:dyDescent="0.25">
      <c r="B17" s="30"/>
      <c r="C17" s="30"/>
      <c r="D17" s="37"/>
      <c r="E17" s="38"/>
      <c r="F17" s="37"/>
      <c r="G17" s="39"/>
      <c r="I17" s="40" t="s">
        <v>46</v>
      </c>
      <c r="J17" s="41">
        <f t="shared" si="0"/>
        <v>0</v>
      </c>
      <c r="K17" s="42">
        <f t="shared" si="1"/>
        <v>0</v>
      </c>
    </row>
    <row r="18" spans="2:11" x14ac:dyDescent="0.25">
      <c r="B18" s="30"/>
      <c r="C18" s="30"/>
      <c r="D18" s="37"/>
      <c r="E18" s="38"/>
      <c r="F18" s="37"/>
      <c r="G18" s="39"/>
      <c r="I18" s="40" t="s">
        <v>63</v>
      </c>
      <c r="J18" s="41">
        <f t="shared" si="0"/>
        <v>0</v>
      </c>
      <c r="K18" s="42">
        <f t="shared" si="1"/>
        <v>0</v>
      </c>
    </row>
    <row r="19" spans="2:11" x14ac:dyDescent="0.25">
      <c r="B19" s="30"/>
      <c r="C19" s="30"/>
      <c r="D19" s="37"/>
      <c r="E19" s="38"/>
      <c r="F19" s="37"/>
      <c r="G19" s="39"/>
      <c r="I19" s="40" t="s">
        <v>45</v>
      </c>
      <c r="J19" s="41">
        <f t="shared" si="0"/>
        <v>0</v>
      </c>
      <c r="K19" s="42">
        <f t="shared" si="1"/>
        <v>0</v>
      </c>
    </row>
    <row r="20" spans="2:11" x14ac:dyDescent="0.25">
      <c r="B20" s="30"/>
      <c r="C20" s="30"/>
      <c r="D20" s="37"/>
      <c r="E20" s="38"/>
      <c r="F20" s="37"/>
      <c r="G20" s="39"/>
      <c r="I20" s="40" t="s">
        <v>47</v>
      </c>
      <c r="J20" s="41">
        <f t="shared" si="0"/>
        <v>0</v>
      </c>
      <c r="K20" s="42">
        <f t="shared" si="1"/>
        <v>0</v>
      </c>
    </row>
    <row r="21" spans="2:11" x14ac:dyDescent="0.25">
      <c r="B21" s="30"/>
      <c r="C21" s="30"/>
      <c r="D21" s="37"/>
      <c r="E21" s="38"/>
      <c r="F21" s="37"/>
      <c r="G21" s="39"/>
      <c r="I21" s="5" t="s">
        <v>38</v>
      </c>
      <c r="J21" s="6">
        <f>SUM(J10:J20)</f>
        <v>0</v>
      </c>
      <c r="K21" s="14">
        <f>IF(J21=0,0,J21/J21)</f>
        <v>0</v>
      </c>
    </row>
    <row r="22" spans="2:11" x14ac:dyDescent="0.25">
      <c r="B22" s="30"/>
      <c r="C22" s="30"/>
      <c r="D22" s="37"/>
      <c r="E22" s="38"/>
      <c r="F22" s="37"/>
      <c r="G22" s="39"/>
    </row>
    <row r="23" spans="2:11" x14ac:dyDescent="0.25">
      <c r="B23" s="30"/>
      <c r="C23" s="30"/>
      <c r="D23" s="37"/>
      <c r="E23" s="38"/>
      <c r="F23" s="37"/>
      <c r="G23" s="39"/>
    </row>
    <row r="24" spans="2:11" x14ac:dyDescent="0.25">
      <c r="B24" s="30"/>
      <c r="C24" s="30"/>
      <c r="D24" s="37"/>
      <c r="E24" s="38"/>
      <c r="F24" s="37"/>
      <c r="G24" s="39"/>
    </row>
    <row r="25" spans="2:11" x14ac:dyDescent="0.25">
      <c r="B25" s="30"/>
      <c r="C25" s="30"/>
      <c r="D25" s="37"/>
      <c r="E25" s="38"/>
      <c r="F25" s="37"/>
      <c r="G25" s="39"/>
    </row>
    <row r="26" spans="2:11" x14ac:dyDescent="0.25">
      <c r="B26" s="30"/>
      <c r="C26" s="30"/>
      <c r="D26" s="37"/>
      <c r="E26" s="38"/>
      <c r="F26" s="37"/>
      <c r="G26" s="39"/>
    </row>
    <row r="27" spans="2:11" x14ac:dyDescent="0.25">
      <c r="B27" s="30"/>
      <c r="C27" s="30"/>
      <c r="D27" s="37"/>
      <c r="E27" s="38"/>
      <c r="F27" s="37"/>
      <c r="G27" s="39"/>
    </row>
    <row r="28" spans="2:11" x14ac:dyDescent="0.25">
      <c r="B28" s="30"/>
      <c r="C28" s="30"/>
      <c r="D28" s="37"/>
      <c r="E28" s="38"/>
      <c r="F28" s="37"/>
      <c r="G28" s="39"/>
    </row>
    <row r="29" spans="2:11" x14ac:dyDescent="0.25">
      <c r="B29" s="30"/>
      <c r="C29" s="30"/>
      <c r="D29" s="37"/>
      <c r="E29" s="38"/>
      <c r="F29" s="37"/>
      <c r="G29" s="39"/>
    </row>
    <row r="30" spans="2:11" x14ac:dyDescent="0.25">
      <c r="B30" s="30"/>
      <c r="C30" s="30"/>
      <c r="D30" s="37"/>
      <c r="E30" s="38"/>
      <c r="F30" s="37"/>
      <c r="G30" s="39"/>
    </row>
    <row r="31" spans="2:11" x14ac:dyDescent="0.25">
      <c r="B31" s="30"/>
      <c r="C31" s="30"/>
      <c r="D31" s="37"/>
      <c r="E31" s="38"/>
      <c r="F31" s="37"/>
      <c r="G31" s="39"/>
    </row>
    <row r="32" spans="2:11" x14ac:dyDescent="0.25">
      <c r="B32" s="30"/>
      <c r="C32" s="30"/>
      <c r="D32" s="37"/>
      <c r="E32" s="38"/>
      <c r="F32" s="37"/>
      <c r="G32" s="39"/>
    </row>
    <row r="33" spans="2:7" x14ac:dyDescent="0.25">
      <c r="B33" s="30"/>
      <c r="C33" s="30"/>
      <c r="D33" s="37"/>
      <c r="E33" s="38"/>
      <c r="F33" s="37"/>
      <c r="G33" s="39"/>
    </row>
    <row r="34" spans="2:7" x14ac:dyDescent="0.25">
      <c r="B34" s="30"/>
      <c r="C34" s="30"/>
      <c r="D34" s="37"/>
      <c r="E34" s="38"/>
      <c r="F34" s="37"/>
      <c r="G34" s="39"/>
    </row>
    <row r="35" spans="2:7" x14ac:dyDescent="0.25">
      <c r="B35" s="30"/>
      <c r="C35" s="30"/>
      <c r="D35" s="37"/>
      <c r="E35" s="38"/>
      <c r="F35" s="37"/>
      <c r="G35" s="39"/>
    </row>
    <row r="36" spans="2:7" x14ac:dyDescent="0.25">
      <c r="B36" s="30"/>
      <c r="C36" s="30"/>
      <c r="D36" s="37"/>
      <c r="E36" s="38"/>
      <c r="F36" s="37"/>
      <c r="G36" s="39"/>
    </row>
    <row r="37" spans="2:7" x14ac:dyDescent="0.25">
      <c r="B37" s="30"/>
      <c r="C37" s="30"/>
      <c r="D37" s="37"/>
      <c r="E37" s="38"/>
      <c r="F37" s="37"/>
      <c r="G37" s="39"/>
    </row>
    <row r="38" spans="2:7" x14ac:dyDescent="0.25">
      <c r="B38" s="30"/>
      <c r="C38" s="30"/>
      <c r="D38" s="37"/>
      <c r="E38" s="38"/>
      <c r="F38" s="37"/>
      <c r="G38" s="39"/>
    </row>
    <row r="39" spans="2:7" x14ac:dyDescent="0.25">
      <c r="B39" s="30"/>
      <c r="C39" s="30"/>
      <c r="D39" s="37"/>
      <c r="E39" s="38"/>
      <c r="F39" s="37"/>
      <c r="G39" s="39"/>
    </row>
    <row r="40" spans="2:7" x14ac:dyDescent="0.25">
      <c r="B40" s="30"/>
      <c r="C40" s="30"/>
      <c r="D40" s="37"/>
      <c r="E40" s="38"/>
      <c r="F40" s="37"/>
      <c r="G40" s="39"/>
    </row>
    <row r="41" spans="2:7" x14ac:dyDescent="0.25">
      <c r="B41" s="30"/>
      <c r="C41" s="30"/>
      <c r="D41" s="37"/>
      <c r="E41" s="38"/>
      <c r="F41" s="37"/>
      <c r="G41" s="39"/>
    </row>
    <row r="42" spans="2:7" x14ac:dyDescent="0.25">
      <c r="B42" s="30"/>
      <c r="C42" s="30"/>
      <c r="D42" s="37"/>
      <c r="E42" s="38"/>
      <c r="F42" s="37"/>
      <c r="G42" s="39"/>
    </row>
    <row r="43" spans="2:7" x14ac:dyDescent="0.25">
      <c r="B43" s="30"/>
      <c r="C43" s="30"/>
      <c r="D43" s="37"/>
      <c r="E43" s="38"/>
      <c r="F43" s="37"/>
      <c r="G43" s="39"/>
    </row>
    <row r="44" spans="2:7" x14ac:dyDescent="0.25">
      <c r="B44" s="30"/>
      <c r="C44" s="30"/>
      <c r="D44" s="37"/>
      <c r="E44" s="38"/>
      <c r="F44" s="37"/>
      <c r="G44" s="39"/>
    </row>
    <row r="45" spans="2:7" x14ac:dyDescent="0.25">
      <c r="B45" s="30"/>
      <c r="C45" s="30"/>
      <c r="D45" s="37"/>
      <c r="E45" s="38"/>
      <c r="F45" s="37"/>
      <c r="G45" s="39"/>
    </row>
    <row r="46" spans="2:7" x14ac:dyDescent="0.25">
      <c r="B46" s="30"/>
      <c r="C46" s="30"/>
      <c r="D46" s="37"/>
      <c r="E46" s="38"/>
      <c r="F46" s="37"/>
      <c r="G46" s="39"/>
    </row>
    <row r="47" spans="2:7" x14ac:dyDescent="0.25">
      <c r="B47" s="30"/>
      <c r="C47" s="30"/>
      <c r="D47" s="37"/>
      <c r="E47" s="38"/>
      <c r="F47" s="37"/>
      <c r="G47" s="39"/>
    </row>
    <row r="48" spans="2:7" x14ac:dyDescent="0.25">
      <c r="B48" s="30"/>
      <c r="C48" s="30"/>
      <c r="D48" s="37"/>
      <c r="E48" s="38"/>
      <c r="F48" s="37"/>
      <c r="G48" s="39"/>
    </row>
    <row r="49" spans="2:7" x14ac:dyDescent="0.25">
      <c r="B49" s="30"/>
      <c r="C49" s="30"/>
      <c r="D49" s="37"/>
      <c r="E49" s="38"/>
      <c r="F49" s="37"/>
      <c r="G49" s="39"/>
    </row>
    <row r="50" spans="2:7" x14ac:dyDescent="0.25">
      <c r="B50" s="30"/>
      <c r="C50" s="30"/>
      <c r="D50" s="37"/>
      <c r="E50" s="38"/>
      <c r="F50" s="37"/>
      <c r="G50" s="39"/>
    </row>
    <row r="51" spans="2:7" x14ac:dyDescent="0.25">
      <c r="B51" s="30"/>
      <c r="C51" s="30"/>
      <c r="D51" s="37"/>
      <c r="E51" s="38"/>
      <c r="F51" s="37"/>
      <c r="G51" s="39"/>
    </row>
    <row r="52" spans="2:7" x14ac:dyDescent="0.25">
      <c r="B52" s="30"/>
      <c r="C52" s="30"/>
      <c r="D52" s="37"/>
      <c r="E52" s="38"/>
      <c r="F52" s="37"/>
      <c r="G52" s="39"/>
    </row>
    <row r="53" spans="2:7" x14ac:dyDescent="0.25">
      <c r="B53" s="30"/>
      <c r="C53" s="30"/>
      <c r="D53" s="37"/>
      <c r="E53" s="38"/>
      <c r="F53" s="37"/>
      <c r="G53" s="39"/>
    </row>
    <row r="54" spans="2:7" x14ac:dyDescent="0.25">
      <c r="B54" s="30"/>
      <c r="C54" s="30"/>
      <c r="D54" s="37"/>
      <c r="E54" s="38"/>
      <c r="F54" s="37"/>
      <c r="G54" s="39"/>
    </row>
    <row r="55" spans="2:7" x14ac:dyDescent="0.25">
      <c r="B55" s="30"/>
      <c r="C55" s="30"/>
      <c r="D55" s="37"/>
      <c r="E55" s="38"/>
      <c r="F55" s="37"/>
      <c r="G55" s="39"/>
    </row>
    <row r="56" spans="2:7" x14ac:dyDescent="0.25">
      <c r="B56" s="30"/>
      <c r="C56" s="30"/>
      <c r="D56" s="37"/>
      <c r="E56" s="38"/>
      <c r="F56" s="37"/>
      <c r="G56" s="39"/>
    </row>
    <row r="57" spans="2:7" x14ac:dyDescent="0.25">
      <c r="B57" s="30"/>
      <c r="C57" s="30"/>
      <c r="D57" s="37"/>
      <c r="E57" s="38"/>
      <c r="F57" s="37"/>
      <c r="G57" s="39"/>
    </row>
    <row r="58" spans="2:7" x14ac:dyDescent="0.25">
      <c r="B58" s="30"/>
      <c r="C58" s="30"/>
      <c r="D58" s="37"/>
      <c r="E58" s="38"/>
      <c r="F58" s="37"/>
      <c r="G58" s="39"/>
    </row>
    <row r="59" spans="2:7" x14ac:dyDescent="0.25">
      <c r="B59" s="30"/>
      <c r="C59" s="30"/>
      <c r="D59" s="37"/>
      <c r="E59" s="38"/>
      <c r="F59" s="37"/>
      <c r="G59" s="39"/>
    </row>
    <row r="60" spans="2:7" x14ac:dyDescent="0.25">
      <c r="B60" s="30"/>
      <c r="C60" s="30"/>
      <c r="D60" s="37"/>
      <c r="E60" s="38"/>
      <c r="F60" s="37"/>
      <c r="G60" s="39"/>
    </row>
    <row r="61" spans="2:7" x14ac:dyDescent="0.25">
      <c r="B61" s="30"/>
      <c r="C61" s="30"/>
      <c r="D61" s="37"/>
      <c r="E61" s="38"/>
      <c r="F61" s="37"/>
      <c r="G61" s="39"/>
    </row>
    <row r="62" spans="2:7" x14ac:dyDescent="0.25">
      <c r="B62" s="30"/>
      <c r="C62" s="30"/>
      <c r="D62" s="37"/>
      <c r="E62" s="38"/>
      <c r="F62" s="37"/>
      <c r="G62" s="39"/>
    </row>
    <row r="63" spans="2:7" x14ac:dyDescent="0.25">
      <c r="B63" s="30"/>
      <c r="C63" s="30"/>
      <c r="D63" s="37"/>
      <c r="E63" s="38"/>
      <c r="F63" s="37"/>
      <c r="G63" s="39"/>
    </row>
    <row r="64" spans="2:7" x14ac:dyDescent="0.25">
      <c r="B64" s="30"/>
      <c r="C64" s="30"/>
      <c r="D64" s="37"/>
      <c r="E64" s="38"/>
      <c r="F64" s="37"/>
      <c r="G64" s="39"/>
    </row>
    <row r="65" spans="2:7" x14ac:dyDescent="0.25">
      <c r="B65" s="30"/>
      <c r="C65" s="30"/>
      <c r="D65" s="37"/>
      <c r="E65" s="38"/>
      <c r="F65" s="37"/>
      <c r="G65" s="39"/>
    </row>
    <row r="66" spans="2:7" x14ac:dyDescent="0.25">
      <c r="B66" s="30"/>
      <c r="C66" s="30"/>
      <c r="D66" s="37"/>
      <c r="E66" s="38"/>
      <c r="F66" s="37"/>
      <c r="G66" s="39"/>
    </row>
    <row r="67" spans="2:7" x14ac:dyDescent="0.25">
      <c r="B67" s="30"/>
      <c r="C67" s="30"/>
      <c r="D67" s="37"/>
      <c r="E67" s="38"/>
      <c r="F67" s="37"/>
      <c r="G67" s="39"/>
    </row>
    <row r="68" spans="2:7" x14ac:dyDescent="0.25">
      <c r="B68" s="30"/>
      <c r="C68" s="30"/>
      <c r="D68" s="37"/>
      <c r="E68" s="38"/>
      <c r="F68" s="37"/>
      <c r="G68" s="39"/>
    </row>
    <row r="69" spans="2:7" x14ac:dyDescent="0.25">
      <c r="B69" s="30"/>
      <c r="C69" s="30"/>
      <c r="D69" s="37"/>
      <c r="E69" s="38"/>
      <c r="F69" s="37"/>
      <c r="G69" s="39"/>
    </row>
    <row r="70" spans="2:7" x14ac:dyDescent="0.25">
      <c r="B70" s="30"/>
      <c r="C70" s="30"/>
      <c r="D70" s="37"/>
      <c r="E70" s="38"/>
      <c r="F70" s="37"/>
      <c r="G70" s="39"/>
    </row>
    <row r="71" spans="2:7" x14ac:dyDescent="0.25">
      <c r="B71" s="30"/>
      <c r="C71" s="30"/>
      <c r="D71" s="37"/>
      <c r="E71" s="38"/>
      <c r="F71" s="37"/>
      <c r="G71" s="39"/>
    </row>
    <row r="72" spans="2:7" x14ac:dyDescent="0.25">
      <c r="B72" s="30"/>
      <c r="C72" s="30"/>
      <c r="D72" s="37"/>
      <c r="E72" s="38"/>
      <c r="F72" s="37"/>
      <c r="G72" s="39"/>
    </row>
    <row r="73" spans="2:7" x14ac:dyDescent="0.25">
      <c r="B73" s="30"/>
      <c r="C73" s="30"/>
      <c r="D73" s="37"/>
      <c r="E73" s="38"/>
      <c r="F73" s="37"/>
      <c r="G73" s="39"/>
    </row>
    <row r="74" spans="2:7" x14ac:dyDescent="0.25">
      <c r="B74" s="30"/>
      <c r="C74" s="30"/>
      <c r="D74" s="37"/>
      <c r="E74" s="38"/>
      <c r="F74" s="37"/>
      <c r="G74" s="39"/>
    </row>
    <row r="75" spans="2:7" x14ac:dyDescent="0.25">
      <c r="B75" s="30"/>
      <c r="C75" s="30"/>
      <c r="D75" s="37"/>
      <c r="E75" s="38"/>
      <c r="F75" s="37"/>
      <c r="G75" s="39"/>
    </row>
    <row r="76" spans="2:7" x14ac:dyDescent="0.25">
      <c r="B76" s="30"/>
      <c r="C76" s="30"/>
      <c r="D76" s="37"/>
      <c r="E76" s="38"/>
      <c r="F76" s="37"/>
      <c r="G76" s="39"/>
    </row>
    <row r="77" spans="2:7" x14ac:dyDescent="0.25">
      <c r="B77" s="30"/>
      <c r="C77" s="30"/>
      <c r="D77" s="37"/>
      <c r="E77" s="38"/>
      <c r="F77" s="37"/>
      <c r="G77" s="39"/>
    </row>
    <row r="78" spans="2:7" x14ac:dyDescent="0.25">
      <c r="B78" s="30"/>
      <c r="C78" s="30"/>
      <c r="D78" s="37"/>
      <c r="E78" s="38"/>
      <c r="F78" s="37"/>
      <c r="G78" s="39"/>
    </row>
    <row r="79" spans="2:7" x14ac:dyDescent="0.25">
      <c r="B79" s="30"/>
      <c r="C79" s="30"/>
      <c r="D79" s="37"/>
      <c r="E79" s="38"/>
      <c r="F79" s="37"/>
      <c r="G79" s="39"/>
    </row>
    <row r="80" spans="2:7" x14ac:dyDescent="0.25">
      <c r="B80" s="30"/>
      <c r="C80" s="30"/>
      <c r="D80" s="37"/>
      <c r="E80" s="38"/>
      <c r="F80" s="37"/>
      <c r="G80" s="39"/>
    </row>
    <row r="81" spans="2:7" x14ac:dyDescent="0.25">
      <c r="B81" s="30"/>
      <c r="C81" s="30"/>
      <c r="D81" s="37"/>
      <c r="E81" s="38"/>
      <c r="F81" s="37"/>
      <c r="G81" s="39"/>
    </row>
    <row r="82" spans="2:7" x14ac:dyDescent="0.25">
      <c r="B82" s="30"/>
      <c r="C82" s="30"/>
      <c r="D82" s="37"/>
      <c r="E82" s="38"/>
      <c r="F82" s="37"/>
      <c r="G82" s="39"/>
    </row>
    <row r="83" spans="2:7" x14ac:dyDescent="0.25">
      <c r="B83" s="30"/>
      <c r="C83" s="30"/>
      <c r="D83" s="37"/>
      <c r="E83" s="38"/>
      <c r="F83" s="37"/>
      <c r="G83" s="39"/>
    </row>
    <row r="84" spans="2:7" x14ac:dyDescent="0.25">
      <c r="B84" s="30"/>
      <c r="C84" s="30"/>
      <c r="D84" s="37"/>
      <c r="E84" s="38"/>
      <c r="F84" s="37"/>
      <c r="G84" s="39"/>
    </row>
    <row r="85" spans="2:7" x14ac:dyDescent="0.25">
      <c r="B85" s="30"/>
      <c r="C85" s="30"/>
      <c r="D85" s="37"/>
      <c r="E85" s="38"/>
      <c r="F85" s="37"/>
      <c r="G85" s="39"/>
    </row>
    <row r="86" spans="2:7" x14ac:dyDescent="0.25">
      <c r="B86" s="30"/>
      <c r="C86" s="30"/>
      <c r="D86" s="37"/>
      <c r="E86" s="38"/>
      <c r="F86" s="37"/>
      <c r="G86" s="39"/>
    </row>
    <row r="87" spans="2:7" x14ac:dyDescent="0.25">
      <c r="B87" s="30"/>
      <c r="C87" s="30"/>
      <c r="D87" s="37"/>
      <c r="E87" s="38"/>
      <c r="F87" s="37"/>
      <c r="G87" s="39"/>
    </row>
    <row r="88" spans="2:7" x14ac:dyDescent="0.25">
      <c r="B88" s="30"/>
      <c r="C88" s="30"/>
      <c r="D88" s="37"/>
      <c r="E88" s="38"/>
      <c r="F88" s="37"/>
      <c r="G88" s="39"/>
    </row>
    <row r="89" spans="2:7" x14ac:dyDescent="0.25">
      <c r="B89" s="30"/>
      <c r="C89" s="30"/>
      <c r="D89" s="37"/>
      <c r="E89" s="38"/>
      <c r="F89" s="37"/>
      <c r="G89" s="39"/>
    </row>
    <row r="90" spans="2:7" x14ac:dyDescent="0.25">
      <c r="B90" s="30"/>
      <c r="C90" s="30"/>
      <c r="D90" s="37"/>
      <c r="E90" s="38"/>
      <c r="F90" s="37"/>
      <c r="G90" s="39"/>
    </row>
    <row r="91" spans="2:7" x14ac:dyDescent="0.25">
      <c r="B91" s="30"/>
      <c r="C91" s="30"/>
      <c r="D91" s="37"/>
      <c r="E91" s="38"/>
      <c r="F91" s="37"/>
      <c r="G91" s="39"/>
    </row>
    <row r="92" spans="2:7" x14ac:dyDescent="0.25">
      <c r="B92" s="30"/>
      <c r="C92" s="30"/>
      <c r="D92" s="37"/>
      <c r="E92" s="38"/>
      <c r="F92" s="37"/>
      <c r="G92" s="39"/>
    </row>
    <row r="93" spans="2:7" x14ac:dyDescent="0.25">
      <c r="B93" s="30"/>
      <c r="C93" s="25"/>
      <c r="D93" s="26"/>
      <c r="E93" s="27"/>
      <c r="F93" s="26"/>
      <c r="G93" s="28"/>
    </row>
    <row r="94" spans="2:7" x14ac:dyDescent="0.25">
      <c r="B94" s="30"/>
      <c r="C94" s="12"/>
      <c r="D94" s="10"/>
      <c r="E94" s="15"/>
      <c r="F94" s="10"/>
      <c r="G94" s="11"/>
    </row>
    <row r="95" spans="2:7" x14ac:dyDescent="0.25">
      <c r="B95" s="30"/>
      <c r="C95" s="12"/>
      <c r="D95" s="10"/>
      <c r="E95" s="15"/>
      <c r="F95" s="10"/>
      <c r="G95" s="11"/>
    </row>
    <row r="96" spans="2:7" x14ac:dyDescent="0.25">
      <c r="B96" s="30"/>
      <c r="C96" s="12"/>
      <c r="D96" s="10"/>
      <c r="E96" s="15"/>
      <c r="F96" s="10"/>
      <c r="G96" s="11"/>
    </row>
    <row r="97" spans="2:7" x14ac:dyDescent="0.25">
      <c r="B97" s="30"/>
      <c r="C97" s="12"/>
      <c r="D97" s="10"/>
      <c r="E97" s="15"/>
      <c r="F97" s="10"/>
      <c r="G97" s="11"/>
    </row>
    <row r="98" spans="2:7" x14ac:dyDescent="0.25">
      <c r="B98" s="30"/>
      <c r="C98" s="12"/>
      <c r="D98" s="10"/>
      <c r="E98" s="15"/>
      <c r="F98" s="10"/>
      <c r="G98" s="11"/>
    </row>
    <row r="99" spans="2:7" x14ac:dyDescent="0.25">
      <c r="B99" s="30"/>
      <c r="C99" s="12"/>
      <c r="D99" s="10"/>
      <c r="E99" s="15"/>
      <c r="F99" s="10"/>
      <c r="G99" s="11"/>
    </row>
    <row r="100" spans="2:7" x14ac:dyDescent="0.25">
      <c r="B100" s="30"/>
      <c r="C100" s="12"/>
      <c r="D100" s="10"/>
      <c r="E100" s="15"/>
      <c r="F100" s="10"/>
      <c r="G100" s="11"/>
    </row>
    <row r="101" spans="2:7" x14ac:dyDescent="0.25">
      <c r="B101" s="30"/>
      <c r="C101" s="12"/>
      <c r="D101" s="10"/>
      <c r="E101" s="15"/>
      <c r="F101" s="10"/>
      <c r="G101" s="11"/>
    </row>
    <row r="102" spans="2:7" x14ac:dyDescent="0.25">
      <c r="B102" s="30"/>
      <c r="C102" s="12"/>
      <c r="D102" s="10"/>
      <c r="E102" s="15"/>
      <c r="F102" s="10"/>
      <c r="G102" s="11"/>
    </row>
    <row r="103" spans="2:7" x14ac:dyDescent="0.25">
      <c r="B103" s="30"/>
      <c r="C103" s="12"/>
      <c r="D103" s="10"/>
      <c r="E103" s="15"/>
      <c r="F103" s="10"/>
      <c r="G103" s="11"/>
    </row>
    <row r="104" spans="2:7" x14ac:dyDescent="0.25">
      <c r="B104" s="30"/>
      <c r="C104" s="12"/>
      <c r="D104" s="10"/>
      <c r="E104" s="15"/>
      <c r="F104" s="10"/>
      <c r="G104" s="11"/>
    </row>
    <row r="105" spans="2:7" x14ac:dyDescent="0.25">
      <c r="B105" s="30"/>
      <c r="C105" s="12"/>
      <c r="D105" s="10"/>
      <c r="E105" s="15"/>
      <c r="F105" s="10"/>
      <c r="G105" s="11"/>
    </row>
    <row r="106" spans="2:7" x14ac:dyDescent="0.25">
      <c r="B106" s="30"/>
      <c r="C106" s="12"/>
      <c r="D106" s="10"/>
      <c r="E106" s="15"/>
      <c r="F106" s="10"/>
      <c r="G106" s="11"/>
    </row>
    <row r="107" spans="2:7" x14ac:dyDescent="0.25">
      <c r="B107" s="30"/>
      <c r="C107" s="12"/>
      <c r="D107" s="10"/>
      <c r="E107" s="15"/>
      <c r="F107" s="10"/>
      <c r="G107" s="11"/>
    </row>
    <row r="108" spans="2:7" x14ac:dyDescent="0.25">
      <c r="B108" s="30"/>
      <c r="C108" s="12"/>
      <c r="D108" s="10"/>
      <c r="E108" s="15"/>
      <c r="F108" s="10"/>
      <c r="G108" s="11"/>
    </row>
    <row r="109" spans="2:7" x14ac:dyDescent="0.25">
      <c r="B109" s="30"/>
      <c r="C109" s="12"/>
      <c r="D109" s="10"/>
      <c r="E109" s="15"/>
      <c r="F109" s="10"/>
      <c r="G109" s="11"/>
    </row>
    <row r="110" spans="2:7" x14ac:dyDescent="0.25">
      <c r="B110" s="5" t="s">
        <v>38</v>
      </c>
      <c r="C110" s="5" t="s">
        <v>38</v>
      </c>
      <c r="D110" s="5"/>
      <c r="E110" s="5"/>
      <c r="F110" s="5"/>
      <c r="G110" s="6">
        <f>SUM(G10:G109)</f>
        <v>0</v>
      </c>
    </row>
  </sheetData>
  <autoFilter ref="B9:G93" xr:uid="{00000000-0001-0000-0200-000000000000}"/>
  <mergeCells count="3">
    <mergeCell ref="B1:K1"/>
    <mergeCell ref="B8:G8"/>
    <mergeCell ref="I8:K8"/>
  </mergeCells>
  <dataValidations count="1">
    <dataValidation type="list" allowBlank="1" showInputMessage="1" showErrorMessage="1" sqref="F10:F109" xr:uid="{FA2D5C00-AED1-45C2-BEF9-DE2B82D5426A}">
      <formula1>$I$10:$I$20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065C73-C816-4D83-9AFF-A4D4773AEFCB}">
          <x14:formula1>
            <xm:f>Resumo!$B$6:$B$17</xm:f>
          </x14:formula1>
          <xm:sqref>D2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348C-E38A-4931-9329-0B51762424A2}">
  <sheetPr>
    <tabColor theme="4"/>
  </sheetPr>
  <dimension ref="A1:M61"/>
  <sheetViews>
    <sheetView showGridLines="0" zoomScaleNormal="100" workbookViewId="0">
      <selection activeCell="K22" sqref="K22:M23"/>
    </sheetView>
  </sheetViews>
  <sheetFormatPr defaultColWidth="8.7109375" defaultRowHeight="15" x14ac:dyDescent="0.25"/>
  <cols>
    <col min="1" max="1" width="2" customWidth="1"/>
    <col min="2" max="2" width="22" customWidth="1"/>
    <col min="3" max="3" width="14" customWidth="1"/>
    <col min="4" max="4" width="4" customWidth="1"/>
    <col min="5" max="5" width="11" style="18" customWidth="1"/>
    <col min="6" max="6" width="26" customWidth="1"/>
    <col min="7" max="7" width="25.7109375" bestFit="1" customWidth="1"/>
    <col min="8" max="8" width="12" customWidth="1"/>
    <col min="9" max="9" width="12.7109375" customWidth="1"/>
    <col min="10" max="10" width="2" customWidth="1"/>
    <col min="11" max="11" width="26" customWidth="1"/>
    <col min="12" max="12" width="13" customWidth="1"/>
    <col min="13" max="13" width="9.7109375" customWidth="1"/>
  </cols>
  <sheetData>
    <row r="1" spans="1:13" ht="24" customHeight="1" x14ac:dyDescent="0.25">
      <c r="B1" s="45" t="s">
        <v>25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x14ac:dyDescent="0.25">
      <c r="B2" s="7" t="s">
        <v>26</v>
      </c>
      <c r="C2" s="9" t="s">
        <v>18</v>
      </c>
      <c r="D2" s="8" t="s">
        <v>27</v>
      </c>
    </row>
    <row r="4" spans="1:13" x14ac:dyDescent="0.25">
      <c r="B4" s="5" t="s">
        <v>28</v>
      </c>
      <c r="C4" s="6">
        <f>C21</f>
        <v>0</v>
      </c>
      <c r="G4" s="5" t="s">
        <v>71</v>
      </c>
      <c r="H4" s="6">
        <f>SUMIF($I$11:$I$60,"Pago",$H$11:$H$60)</f>
        <v>0</v>
      </c>
    </row>
    <row r="5" spans="1:13" x14ac:dyDescent="0.25">
      <c r="B5" s="5" t="s">
        <v>29</v>
      </c>
      <c r="C5" s="6">
        <f>L20</f>
        <v>0</v>
      </c>
      <c r="G5" s="5" t="s">
        <v>72</v>
      </c>
      <c r="H5" s="6">
        <f>SUMIF($I$11:$I$60,"Não pago",$H$11:$H$60)</f>
        <v>0</v>
      </c>
    </row>
    <row r="6" spans="1:13" x14ac:dyDescent="0.25">
      <c r="B6" s="5" t="s">
        <v>30</v>
      </c>
      <c r="C6" s="6">
        <f>C4-C5</f>
        <v>0</v>
      </c>
    </row>
    <row r="8" spans="1:13" x14ac:dyDescent="0.25">
      <c r="A8" s="18"/>
      <c r="B8" s="18"/>
      <c r="C8" s="18"/>
      <c r="D8" s="18"/>
    </row>
    <row r="9" spans="1:13" ht="16.5" x14ac:dyDescent="0.25">
      <c r="B9" s="45" t="s">
        <v>31</v>
      </c>
      <c r="C9" s="45"/>
      <c r="E9" s="45" t="s">
        <v>32</v>
      </c>
      <c r="F9" s="45"/>
      <c r="G9" s="45"/>
      <c r="H9" s="45"/>
      <c r="I9" s="45"/>
      <c r="K9" s="45" t="s">
        <v>33</v>
      </c>
      <c r="L9" s="45"/>
      <c r="M9" s="45"/>
    </row>
    <row r="10" spans="1:13" x14ac:dyDescent="0.25">
      <c r="B10" s="1" t="s">
        <v>34</v>
      </c>
      <c r="C10" s="1" t="s">
        <v>35</v>
      </c>
      <c r="E10" s="17" t="s">
        <v>36</v>
      </c>
      <c r="F10" s="1" t="s">
        <v>34</v>
      </c>
      <c r="G10" s="1" t="s">
        <v>37</v>
      </c>
      <c r="H10" s="1" t="s">
        <v>35</v>
      </c>
      <c r="I10" s="1" t="s">
        <v>70</v>
      </c>
      <c r="K10" s="1" t="s">
        <v>37</v>
      </c>
      <c r="L10" s="1" t="s">
        <v>38</v>
      </c>
      <c r="M10" s="1" t="s">
        <v>39</v>
      </c>
    </row>
    <row r="11" spans="1:13" x14ac:dyDescent="0.25">
      <c r="B11" s="10"/>
      <c r="C11" s="11"/>
      <c r="E11" s="16"/>
      <c r="F11" s="10"/>
      <c r="G11" s="10"/>
      <c r="H11" s="20"/>
      <c r="I11" s="23"/>
      <c r="K11" s="21" t="s">
        <v>40</v>
      </c>
      <c r="L11" s="4">
        <f t="shared" ref="L11:L18" si="0">SUMIF($G$11:$G$60,K11,$H$11:$H$60)</f>
        <v>0</v>
      </c>
      <c r="M11" s="13">
        <f t="shared" ref="M11:M18" si="1">IF($L$20=0,0,L11/$L$20)</f>
        <v>0</v>
      </c>
    </row>
    <row r="12" spans="1:13" x14ac:dyDescent="0.25">
      <c r="B12" s="10"/>
      <c r="C12" s="11"/>
      <c r="E12" s="16"/>
      <c r="F12" s="10"/>
      <c r="G12" s="10"/>
      <c r="H12" s="20"/>
      <c r="I12" s="23"/>
      <c r="K12" s="21" t="s">
        <v>41</v>
      </c>
      <c r="L12" s="4">
        <f t="shared" si="0"/>
        <v>0</v>
      </c>
      <c r="M12" s="13">
        <f t="shared" si="1"/>
        <v>0</v>
      </c>
    </row>
    <row r="13" spans="1:13" x14ac:dyDescent="0.25">
      <c r="B13" s="10"/>
      <c r="C13" s="11"/>
      <c r="E13" s="16"/>
      <c r="F13" s="10"/>
      <c r="G13" s="10"/>
      <c r="H13" s="20"/>
      <c r="I13" s="23"/>
      <c r="K13" s="21" t="s">
        <v>42</v>
      </c>
      <c r="L13" s="4">
        <f t="shared" si="0"/>
        <v>0</v>
      </c>
      <c r="M13" s="13">
        <f t="shared" si="1"/>
        <v>0</v>
      </c>
    </row>
    <row r="14" spans="1:13" x14ac:dyDescent="0.25">
      <c r="B14" s="10"/>
      <c r="C14" s="11"/>
      <c r="E14" s="16"/>
      <c r="F14" s="10"/>
      <c r="G14" s="10"/>
      <c r="H14" s="20"/>
      <c r="I14" s="23"/>
      <c r="K14" s="21" t="s">
        <v>43</v>
      </c>
      <c r="L14" s="4">
        <f t="shared" si="0"/>
        <v>0</v>
      </c>
      <c r="M14" s="13">
        <f t="shared" si="1"/>
        <v>0</v>
      </c>
    </row>
    <row r="15" spans="1:13" x14ac:dyDescent="0.25">
      <c r="B15" s="10"/>
      <c r="C15" s="11"/>
      <c r="E15" s="16"/>
      <c r="F15" s="10"/>
      <c r="G15" s="10"/>
      <c r="H15" s="20"/>
      <c r="I15" s="23"/>
      <c r="K15" s="21" t="s">
        <v>44</v>
      </c>
      <c r="L15" s="4">
        <f t="shared" si="0"/>
        <v>0</v>
      </c>
      <c r="M15" s="13">
        <f t="shared" si="1"/>
        <v>0</v>
      </c>
    </row>
    <row r="16" spans="1:13" x14ac:dyDescent="0.25">
      <c r="B16" s="10"/>
      <c r="C16" s="11"/>
      <c r="E16" s="16"/>
      <c r="F16" s="10"/>
      <c r="G16" s="10"/>
      <c r="H16" s="20"/>
      <c r="I16" s="23"/>
      <c r="K16" s="21" t="s">
        <v>45</v>
      </c>
      <c r="L16" s="4">
        <f t="shared" si="0"/>
        <v>0</v>
      </c>
      <c r="M16" s="13">
        <f t="shared" si="1"/>
        <v>0</v>
      </c>
    </row>
    <row r="17" spans="2:13" x14ac:dyDescent="0.25">
      <c r="B17" s="10"/>
      <c r="C17" s="11"/>
      <c r="E17" s="16"/>
      <c r="F17" s="10"/>
      <c r="G17" s="10"/>
      <c r="H17" s="20"/>
      <c r="I17" s="23"/>
      <c r="K17" s="21" t="s">
        <v>46</v>
      </c>
      <c r="L17" s="4">
        <f t="shared" si="0"/>
        <v>0</v>
      </c>
      <c r="M17" s="13">
        <f t="shared" si="1"/>
        <v>0</v>
      </c>
    </row>
    <row r="18" spans="2:13" x14ac:dyDescent="0.25">
      <c r="B18" s="10"/>
      <c r="C18" s="11"/>
      <c r="E18" s="16"/>
      <c r="F18" s="10"/>
      <c r="G18" s="10"/>
      <c r="H18" s="20"/>
      <c r="I18" s="23"/>
      <c r="K18" s="21" t="s">
        <v>47</v>
      </c>
      <c r="L18" s="4">
        <f t="shared" si="0"/>
        <v>0</v>
      </c>
      <c r="M18" s="13">
        <f t="shared" si="1"/>
        <v>0</v>
      </c>
    </row>
    <row r="19" spans="2:13" x14ac:dyDescent="0.25">
      <c r="B19" s="10"/>
      <c r="C19" s="11"/>
      <c r="E19" s="16"/>
      <c r="F19" s="10"/>
      <c r="G19" s="10"/>
      <c r="H19" s="20"/>
      <c r="I19" s="23"/>
      <c r="K19" s="21" t="s">
        <v>48</v>
      </c>
      <c r="L19" s="3">
        <f>IFERROR('Dezembro-Cartão'!D4,0)</f>
        <v>0</v>
      </c>
      <c r="M19" s="13">
        <f>IF($L$20=0,0,L19/$L$20)</f>
        <v>0</v>
      </c>
    </row>
    <row r="20" spans="2:13" x14ac:dyDescent="0.25">
      <c r="B20" s="10"/>
      <c r="C20" s="11"/>
      <c r="E20" s="16"/>
      <c r="F20" s="10"/>
      <c r="G20" s="10"/>
      <c r="H20" s="20"/>
      <c r="I20" s="23"/>
      <c r="K20" s="22" t="s">
        <v>38</v>
      </c>
      <c r="L20" s="6">
        <f>SUM(L11:L19)</f>
        <v>0</v>
      </c>
      <c r="M20" s="14">
        <f>IF(L20=0,0,L20/L20)</f>
        <v>0</v>
      </c>
    </row>
    <row r="21" spans="2:13" x14ac:dyDescent="0.25">
      <c r="B21" s="5" t="s">
        <v>38</v>
      </c>
      <c r="C21" s="6">
        <f>SUM(C11:C20)</f>
        <v>0</v>
      </c>
      <c r="E21" s="16"/>
      <c r="F21" s="10"/>
      <c r="G21" s="10"/>
      <c r="H21" s="20"/>
      <c r="I21" s="23"/>
    </row>
    <row r="22" spans="2:13" x14ac:dyDescent="0.25">
      <c r="E22" s="16"/>
      <c r="F22" s="10"/>
      <c r="G22" s="10"/>
      <c r="H22" s="20"/>
      <c r="I22" s="23"/>
      <c r="K22" s="44" t="s">
        <v>49</v>
      </c>
      <c r="L22" s="44"/>
      <c r="M22" s="44"/>
    </row>
    <row r="23" spans="2:13" x14ac:dyDescent="0.25">
      <c r="E23" s="16"/>
      <c r="F23" s="10"/>
      <c r="G23" s="10"/>
      <c r="H23" s="20"/>
      <c r="I23" s="23"/>
      <c r="K23" s="44"/>
      <c r="L23" s="44"/>
      <c r="M23" s="44"/>
    </row>
    <row r="24" spans="2:13" x14ac:dyDescent="0.25">
      <c r="E24" s="16"/>
      <c r="F24" s="10"/>
      <c r="G24" s="10"/>
      <c r="H24" s="20"/>
      <c r="I24" s="23"/>
    </row>
    <row r="25" spans="2:13" x14ac:dyDescent="0.25">
      <c r="E25" s="16"/>
      <c r="F25" s="10"/>
      <c r="G25" s="10"/>
      <c r="H25" s="20"/>
      <c r="I25" s="23"/>
    </row>
    <row r="26" spans="2:13" x14ac:dyDescent="0.25">
      <c r="E26" s="16"/>
      <c r="F26" s="10"/>
      <c r="G26" s="10"/>
      <c r="H26" s="20"/>
      <c r="I26" s="23"/>
    </row>
    <row r="27" spans="2:13" x14ac:dyDescent="0.25">
      <c r="E27" s="16"/>
      <c r="F27" s="10"/>
      <c r="G27" s="10"/>
      <c r="H27" s="20"/>
      <c r="I27" s="23"/>
    </row>
    <row r="28" spans="2:13" x14ac:dyDescent="0.25">
      <c r="E28" s="16"/>
      <c r="F28" s="10"/>
      <c r="G28" s="10"/>
      <c r="H28" s="20"/>
      <c r="I28" s="23"/>
    </row>
    <row r="29" spans="2:13" x14ac:dyDescent="0.25">
      <c r="E29" s="16"/>
      <c r="F29" s="10"/>
      <c r="G29" s="10"/>
      <c r="H29" s="20"/>
      <c r="I29" s="23"/>
    </row>
    <row r="30" spans="2:13" x14ac:dyDescent="0.25">
      <c r="E30" s="16"/>
      <c r="F30" s="10"/>
      <c r="G30" s="10"/>
      <c r="H30" s="20"/>
      <c r="I30" s="23"/>
    </row>
    <row r="31" spans="2:13" x14ac:dyDescent="0.25">
      <c r="E31" s="16"/>
      <c r="F31" s="10"/>
      <c r="G31" s="10"/>
      <c r="H31" s="20"/>
      <c r="I31" s="23"/>
    </row>
    <row r="32" spans="2:13" x14ac:dyDescent="0.25">
      <c r="E32" s="16"/>
      <c r="F32" s="10"/>
      <c r="G32" s="10"/>
      <c r="H32" s="20"/>
      <c r="I32" s="23"/>
    </row>
    <row r="33" spans="5:9" x14ac:dyDescent="0.25">
      <c r="E33" s="16"/>
      <c r="F33" s="10"/>
      <c r="G33" s="10"/>
      <c r="H33" s="20"/>
      <c r="I33" s="23"/>
    </row>
    <row r="34" spans="5:9" x14ac:dyDescent="0.25">
      <c r="E34" s="16"/>
      <c r="F34" s="10"/>
      <c r="G34" s="10"/>
      <c r="H34" s="20"/>
      <c r="I34" s="23"/>
    </row>
    <row r="35" spans="5:9" x14ac:dyDescent="0.25">
      <c r="E35" s="16"/>
      <c r="F35" s="10"/>
      <c r="G35" s="10"/>
      <c r="H35" s="20"/>
      <c r="I35" s="23"/>
    </row>
    <row r="36" spans="5:9" x14ac:dyDescent="0.25">
      <c r="E36" s="16"/>
      <c r="F36" s="10"/>
      <c r="G36" s="10"/>
      <c r="H36" s="20"/>
      <c r="I36" s="23"/>
    </row>
    <row r="37" spans="5:9" x14ac:dyDescent="0.25">
      <c r="E37" s="16"/>
      <c r="F37" s="10"/>
      <c r="G37" s="10"/>
      <c r="H37" s="20"/>
      <c r="I37" s="23"/>
    </row>
    <row r="38" spans="5:9" x14ac:dyDescent="0.25">
      <c r="E38" s="16"/>
      <c r="F38" s="10"/>
      <c r="G38" s="10"/>
      <c r="H38" s="20"/>
      <c r="I38" s="23"/>
    </row>
    <row r="39" spans="5:9" x14ac:dyDescent="0.25">
      <c r="E39" s="16"/>
      <c r="F39" s="10"/>
      <c r="G39" s="10"/>
      <c r="H39" s="20"/>
      <c r="I39" s="23"/>
    </row>
    <row r="40" spans="5:9" x14ac:dyDescent="0.25">
      <c r="E40" s="16"/>
      <c r="F40" s="10"/>
      <c r="G40" s="10"/>
      <c r="H40" s="20"/>
      <c r="I40" s="23"/>
    </row>
    <row r="41" spans="5:9" x14ac:dyDescent="0.25">
      <c r="E41" s="16"/>
      <c r="F41" s="10"/>
      <c r="G41" s="10"/>
      <c r="H41" s="20"/>
      <c r="I41" s="23"/>
    </row>
    <row r="42" spans="5:9" x14ac:dyDescent="0.25">
      <c r="E42" s="16"/>
      <c r="F42" s="10"/>
      <c r="G42" s="10"/>
      <c r="H42" s="20"/>
      <c r="I42" s="23"/>
    </row>
    <row r="43" spans="5:9" x14ac:dyDescent="0.25">
      <c r="E43" s="16"/>
      <c r="F43" s="10"/>
      <c r="G43" s="10"/>
      <c r="H43" s="20"/>
      <c r="I43" s="23"/>
    </row>
    <row r="44" spans="5:9" x14ac:dyDescent="0.25">
      <c r="E44" s="16"/>
      <c r="F44" s="10"/>
      <c r="G44" s="10"/>
      <c r="H44" s="20"/>
      <c r="I44" s="23"/>
    </row>
    <row r="45" spans="5:9" x14ac:dyDescent="0.25">
      <c r="E45" s="16"/>
      <c r="F45" s="10"/>
      <c r="G45" s="10"/>
      <c r="H45" s="20"/>
      <c r="I45" s="23"/>
    </row>
    <row r="46" spans="5:9" x14ac:dyDescent="0.25">
      <c r="E46" s="16"/>
      <c r="F46" s="10"/>
      <c r="G46" s="10"/>
      <c r="H46" s="20"/>
      <c r="I46" s="23"/>
    </row>
    <row r="47" spans="5:9" x14ac:dyDescent="0.25">
      <c r="E47" s="16"/>
      <c r="F47" s="10"/>
      <c r="G47" s="10"/>
      <c r="H47" s="20"/>
      <c r="I47" s="23"/>
    </row>
    <row r="48" spans="5:9" x14ac:dyDescent="0.25">
      <c r="E48" s="16"/>
      <c r="F48" s="10"/>
      <c r="G48" s="10"/>
      <c r="H48" s="20"/>
      <c r="I48" s="23"/>
    </row>
    <row r="49" spans="5:10" x14ac:dyDescent="0.25">
      <c r="E49" s="16"/>
      <c r="F49" s="10"/>
      <c r="G49" s="10"/>
      <c r="H49" s="20"/>
      <c r="I49" s="23"/>
    </row>
    <row r="50" spans="5:10" x14ac:dyDescent="0.25">
      <c r="E50" s="16"/>
      <c r="F50" s="10"/>
      <c r="G50" s="10"/>
      <c r="H50" s="20"/>
      <c r="I50" s="23"/>
    </row>
    <row r="51" spans="5:10" x14ac:dyDescent="0.25">
      <c r="E51" s="16"/>
      <c r="F51" s="10"/>
      <c r="G51" s="10"/>
      <c r="H51" s="20"/>
      <c r="I51" s="23"/>
    </row>
    <row r="52" spans="5:10" x14ac:dyDescent="0.25">
      <c r="E52" s="16"/>
      <c r="F52" s="10"/>
      <c r="G52" s="10"/>
      <c r="H52" s="20"/>
      <c r="I52" s="23"/>
      <c r="J52" s="24"/>
    </row>
    <row r="53" spans="5:10" x14ac:dyDescent="0.25">
      <c r="E53" s="16"/>
      <c r="F53" s="10"/>
      <c r="G53" s="10"/>
      <c r="H53" s="20"/>
      <c r="I53" s="23"/>
      <c r="J53" s="24"/>
    </row>
    <row r="54" spans="5:10" x14ac:dyDescent="0.25">
      <c r="E54" s="16"/>
      <c r="F54" s="10"/>
      <c r="G54" s="10"/>
      <c r="H54" s="20"/>
      <c r="I54" s="23"/>
      <c r="J54" s="24"/>
    </row>
    <row r="55" spans="5:10" x14ac:dyDescent="0.25">
      <c r="E55" s="16"/>
      <c r="F55" s="10"/>
      <c r="G55" s="10"/>
      <c r="H55" s="20"/>
      <c r="I55" s="23"/>
      <c r="J55" s="24"/>
    </row>
    <row r="56" spans="5:10" x14ac:dyDescent="0.25">
      <c r="E56" s="16"/>
      <c r="F56" s="10"/>
      <c r="G56" s="10"/>
      <c r="H56" s="20"/>
      <c r="I56" s="23"/>
      <c r="J56" s="24"/>
    </row>
    <row r="57" spans="5:10" x14ac:dyDescent="0.25">
      <c r="E57" s="16"/>
      <c r="F57" s="10"/>
      <c r="G57" s="10"/>
      <c r="H57" s="20"/>
      <c r="I57" s="23"/>
      <c r="J57" s="24"/>
    </row>
    <row r="58" spans="5:10" x14ac:dyDescent="0.25">
      <c r="E58" s="16"/>
      <c r="F58" s="10"/>
      <c r="G58" s="10"/>
      <c r="H58" s="20"/>
      <c r="I58" s="23"/>
      <c r="J58" s="24"/>
    </row>
    <row r="59" spans="5:10" x14ac:dyDescent="0.25">
      <c r="E59" s="16"/>
      <c r="F59" s="10"/>
      <c r="G59" s="10"/>
      <c r="H59" s="20"/>
      <c r="I59" s="23"/>
      <c r="J59" s="24"/>
    </row>
    <row r="60" spans="5:10" x14ac:dyDescent="0.25">
      <c r="E60" s="16"/>
      <c r="F60" s="10"/>
      <c r="G60" s="10"/>
      <c r="H60" s="20"/>
      <c r="I60" s="23"/>
      <c r="J60" s="24"/>
    </row>
    <row r="61" spans="5:10" x14ac:dyDescent="0.25">
      <c r="E61" s="19" t="s">
        <v>50</v>
      </c>
      <c r="F61" s="5"/>
      <c r="G61" s="5"/>
      <c r="H61" s="6">
        <f>SUM(H11:H60)</f>
        <v>0</v>
      </c>
    </row>
  </sheetData>
  <mergeCells count="5">
    <mergeCell ref="B1:M1"/>
    <mergeCell ref="B9:C9"/>
    <mergeCell ref="E9:I9"/>
    <mergeCell ref="K9:M9"/>
    <mergeCell ref="K22:M23"/>
  </mergeCells>
  <conditionalFormatting sqref="I11:I51 I52:J60">
    <cfRule type="cellIs" dxfId="1" priority="1" operator="equal">
      <formula>"Pago"</formula>
    </cfRule>
    <cfRule type="cellIs" dxfId="0" priority="2" operator="equal">
      <formula>"Não pago"</formula>
    </cfRule>
  </conditionalFormatting>
  <dataValidations count="2">
    <dataValidation type="list" allowBlank="1" showInputMessage="1" showErrorMessage="1" sqref="J52:J60 I11:I60" xr:uid="{23C66D45-C20A-4B77-8F8C-CDF3393EE128}">
      <formula1>"Pago,Não pago"</formula1>
    </dataValidation>
    <dataValidation type="list" allowBlank="1" error="Escolha uma categoria da lista" sqref="G11:G60" xr:uid="{924463FB-E7EE-498D-ABEF-97E5CCD00BC8}">
      <formula1>$K$11:$K$18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D59E14-5966-4C7F-B31A-98C6863780BE}">
          <x14:formula1>
            <xm:f>Resumo!$B$6:$B$17</xm:f>
          </x14:formula1>
          <xm:sqref>C2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AE6A-EE42-4D70-88DA-AC14F79668E5}">
  <sheetPr>
    <tabColor theme="4"/>
  </sheetPr>
  <dimension ref="B1:K110"/>
  <sheetViews>
    <sheetView showGridLines="0" zoomScaleNormal="100" workbookViewId="0">
      <selection activeCell="K22" sqref="K22:M23"/>
    </sheetView>
  </sheetViews>
  <sheetFormatPr defaultColWidth="8.7109375" defaultRowHeight="15" x14ac:dyDescent="0.25"/>
  <cols>
    <col min="1" max="1" width="2" customWidth="1"/>
    <col min="2" max="2" width="15.5703125" customWidth="1"/>
    <col min="3" max="3" width="15" bestFit="1" customWidth="1"/>
    <col min="4" max="4" width="30" customWidth="1"/>
    <col min="5" max="5" width="9" customWidth="1"/>
    <col min="6" max="6" width="24" customWidth="1"/>
    <col min="7" max="7" width="12" customWidth="1"/>
    <col min="8" max="8" width="2" customWidth="1"/>
    <col min="9" max="9" width="24" customWidth="1"/>
    <col min="10" max="10" width="13" customWidth="1"/>
    <col min="11" max="11" width="8" customWidth="1"/>
  </cols>
  <sheetData>
    <row r="1" spans="2:11" ht="24" customHeight="1" x14ac:dyDescent="0.25">
      <c r="B1" s="45" t="s">
        <v>51</v>
      </c>
      <c r="C1" s="45"/>
      <c r="D1" s="45"/>
      <c r="E1" s="45"/>
      <c r="F1" s="45"/>
      <c r="G1" s="45"/>
      <c r="H1" s="45"/>
      <c r="I1" s="45"/>
      <c r="J1" s="45"/>
      <c r="K1" s="45"/>
    </row>
    <row r="2" spans="2:11" x14ac:dyDescent="0.25">
      <c r="C2" s="7" t="s">
        <v>26</v>
      </c>
      <c r="D2" s="9" t="s">
        <v>18</v>
      </c>
      <c r="E2" s="8" t="s">
        <v>52</v>
      </c>
    </row>
    <row r="3" spans="2:11" x14ac:dyDescent="0.25">
      <c r="I3" s="5" t="s">
        <v>145</v>
      </c>
      <c r="J3" s="6">
        <f>SUMIFS(G:G,B:B,I3)</f>
        <v>0</v>
      </c>
    </row>
    <row r="4" spans="2:11" x14ac:dyDescent="0.25">
      <c r="C4" s="5" t="s">
        <v>53</v>
      </c>
      <c r="D4" s="6">
        <f>G110</f>
        <v>0</v>
      </c>
      <c r="I4" s="5" t="s">
        <v>146</v>
      </c>
      <c r="J4" s="6">
        <f>SUMIFS(G:G,B:B,I4)</f>
        <v>0</v>
      </c>
    </row>
    <row r="5" spans="2:11" x14ac:dyDescent="0.25">
      <c r="I5" s="5" t="s">
        <v>147</v>
      </c>
      <c r="J5" s="6">
        <f>SUMIFS(G:G,B:B,I5)</f>
        <v>0</v>
      </c>
    </row>
    <row r="6" spans="2:11" x14ac:dyDescent="0.25">
      <c r="I6" s="43" t="s">
        <v>148</v>
      </c>
      <c r="J6" s="6">
        <f>SUM(J3:J5)</f>
        <v>0</v>
      </c>
    </row>
    <row r="8" spans="2:11" ht="16.5" x14ac:dyDescent="0.25">
      <c r="B8" s="45" t="s">
        <v>54</v>
      </c>
      <c r="C8" s="45"/>
      <c r="D8" s="45"/>
      <c r="E8" s="45"/>
      <c r="F8" s="45"/>
      <c r="G8" s="45"/>
      <c r="I8" s="45" t="s">
        <v>55</v>
      </c>
      <c r="J8" s="45"/>
      <c r="K8" s="45"/>
    </row>
    <row r="9" spans="2:11" x14ac:dyDescent="0.25">
      <c r="B9" s="1" t="s">
        <v>144</v>
      </c>
      <c r="C9" s="1" t="s">
        <v>36</v>
      </c>
      <c r="D9" s="1" t="s">
        <v>34</v>
      </c>
      <c r="E9" s="1" t="s">
        <v>56</v>
      </c>
      <c r="F9" s="1" t="s">
        <v>37</v>
      </c>
      <c r="G9" s="1" t="s">
        <v>35</v>
      </c>
      <c r="I9" s="1" t="s">
        <v>37</v>
      </c>
      <c r="J9" s="1" t="s">
        <v>38</v>
      </c>
      <c r="K9" s="1" t="s">
        <v>39</v>
      </c>
    </row>
    <row r="10" spans="2:11" x14ac:dyDescent="0.25">
      <c r="B10" s="16"/>
      <c r="C10" s="16"/>
      <c r="D10" s="31"/>
      <c r="E10" s="32"/>
      <c r="F10" s="31"/>
      <c r="G10" s="33"/>
      <c r="I10" s="40" t="s">
        <v>42</v>
      </c>
      <c r="J10" s="41">
        <f t="shared" ref="J10:J20" si="0">SUMIF($F$10:$F$109,I10,$G$10:$G$109)</f>
        <v>0</v>
      </c>
      <c r="K10" s="42">
        <f t="shared" ref="K10:K20" si="1">IF($J$21=0,0,J10/$J$21)</f>
        <v>0</v>
      </c>
    </row>
    <row r="11" spans="2:11" x14ac:dyDescent="0.25">
      <c r="B11" s="16"/>
      <c r="C11" s="16"/>
      <c r="D11" s="31"/>
      <c r="E11" s="32"/>
      <c r="F11" s="31"/>
      <c r="G11" s="33"/>
      <c r="I11" s="40" t="s">
        <v>57</v>
      </c>
      <c r="J11" s="41">
        <f t="shared" si="0"/>
        <v>0</v>
      </c>
      <c r="K11" s="42">
        <f t="shared" si="1"/>
        <v>0</v>
      </c>
    </row>
    <row r="12" spans="2:11" x14ac:dyDescent="0.25">
      <c r="B12" s="16"/>
      <c r="C12" s="16"/>
      <c r="D12" s="31"/>
      <c r="E12" s="32"/>
      <c r="F12" s="31"/>
      <c r="G12" s="33"/>
      <c r="I12" s="40" t="s">
        <v>58</v>
      </c>
      <c r="J12" s="41">
        <f t="shared" si="0"/>
        <v>0</v>
      </c>
      <c r="K12" s="42">
        <f t="shared" si="1"/>
        <v>0</v>
      </c>
    </row>
    <row r="13" spans="2:11" x14ac:dyDescent="0.25">
      <c r="B13" s="16"/>
      <c r="C13" s="16"/>
      <c r="D13" s="31"/>
      <c r="E13" s="32"/>
      <c r="F13" s="31"/>
      <c r="G13" s="33"/>
      <c r="I13" s="40" t="s">
        <v>59</v>
      </c>
      <c r="J13" s="41">
        <f t="shared" si="0"/>
        <v>0</v>
      </c>
      <c r="K13" s="42">
        <f t="shared" si="1"/>
        <v>0</v>
      </c>
    </row>
    <row r="14" spans="2:11" x14ac:dyDescent="0.25">
      <c r="B14" s="29"/>
      <c r="C14" s="29"/>
      <c r="D14" s="34"/>
      <c r="E14" s="35"/>
      <c r="F14" s="34"/>
      <c r="G14" s="36"/>
      <c r="I14" s="40" t="s">
        <v>60</v>
      </c>
      <c r="J14" s="41">
        <f t="shared" si="0"/>
        <v>0</v>
      </c>
      <c r="K14" s="42">
        <f t="shared" si="1"/>
        <v>0</v>
      </c>
    </row>
    <row r="15" spans="2:11" x14ac:dyDescent="0.25">
      <c r="B15" s="30"/>
      <c r="C15" s="30"/>
      <c r="D15" s="37"/>
      <c r="E15" s="38"/>
      <c r="F15" s="37"/>
      <c r="G15" s="39"/>
      <c r="I15" s="40" t="s">
        <v>61</v>
      </c>
      <c r="J15" s="41">
        <f t="shared" si="0"/>
        <v>0</v>
      </c>
      <c r="K15" s="42">
        <f t="shared" si="1"/>
        <v>0</v>
      </c>
    </row>
    <row r="16" spans="2:11" x14ac:dyDescent="0.25">
      <c r="B16" s="30"/>
      <c r="C16" s="30"/>
      <c r="D16" s="37"/>
      <c r="E16" s="38"/>
      <c r="F16" s="37"/>
      <c r="G16" s="39"/>
      <c r="I16" s="40" t="s">
        <v>62</v>
      </c>
      <c r="J16" s="41">
        <f t="shared" si="0"/>
        <v>0</v>
      </c>
      <c r="K16" s="42">
        <f t="shared" si="1"/>
        <v>0</v>
      </c>
    </row>
    <row r="17" spans="2:11" x14ac:dyDescent="0.25">
      <c r="B17" s="30"/>
      <c r="C17" s="30"/>
      <c r="D17" s="37"/>
      <c r="E17" s="38"/>
      <c r="F17" s="37"/>
      <c r="G17" s="39"/>
      <c r="I17" s="40" t="s">
        <v>46</v>
      </c>
      <c r="J17" s="41">
        <f t="shared" si="0"/>
        <v>0</v>
      </c>
      <c r="K17" s="42">
        <f t="shared" si="1"/>
        <v>0</v>
      </c>
    </row>
    <row r="18" spans="2:11" x14ac:dyDescent="0.25">
      <c r="B18" s="30"/>
      <c r="C18" s="30"/>
      <c r="D18" s="37"/>
      <c r="E18" s="38"/>
      <c r="F18" s="37"/>
      <c r="G18" s="39"/>
      <c r="I18" s="40" t="s">
        <v>63</v>
      </c>
      <c r="J18" s="41">
        <f t="shared" si="0"/>
        <v>0</v>
      </c>
      <c r="K18" s="42">
        <f t="shared" si="1"/>
        <v>0</v>
      </c>
    </row>
    <row r="19" spans="2:11" x14ac:dyDescent="0.25">
      <c r="B19" s="30"/>
      <c r="C19" s="30"/>
      <c r="D19" s="37"/>
      <c r="E19" s="38"/>
      <c r="F19" s="37"/>
      <c r="G19" s="39"/>
      <c r="I19" s="40" t="s">
        <v>45</v>
      </c>
      <c r="J19" s="41">
        <f t="shared" si="0"/>
        <v>0</v>
      </c>
      <c r="K19" s="42">
        <f t="shared" si="1"/>
        <v>0</v>
      </c>
    </row>
    <row r="20" spans="2:11" x14ac:dyDescent="0.25">
      <c r="B20" s="30"/>
      <c r="C20" s="30"/>
      <c r="D20" s="37"/>
      <c r="E20" s="38"/>
      <c r="F20" s="37"/>
      <c r="G20" s="39"/>
      <c r="I20" s="40" t="s">
        <v>47</v>
      </c>
      <c r="J20" s="41">
        <f t="shared" si="0"/>
        <v>0</v>
      </c>
      <c r="K20" s="42">
        <f t="shared" si="1"/>
        <v>0</v>
      </c>
    </row>
    <row r="21" spans="2:11" x14ac:dyDescent="0.25">
      <c r="B21" s="30"/>
      <c r="C21" s="30"/>
      <c r="D21" s="37"/>
      <c r="E21" s="38"/>
      <c r="F21" s="37"/>
      <c r="G21" s="39"/>
      <c r="I21" s="5" t="s">
        <v>38</v>
      </c>
      <c r="J21" s="6">
        <f>SUM(J10:J20)</f>
        <v>0</v>
      </c>
      <c r="K21" s="14">
        <f>IF(J21=0,0,J21/J21)</f>
        <v>0</v>
      </c>
    </row>
    <row r="22" spans="2:11" x14ac:dyDescent="0.25">
      <c r="B22" s="30"/>
      <c r="C22" s="30"/>
      <c r="D22" s="37"/>
      <c r="E22" s="38"/>
      <c r="F22" s="37"/>
      <c r="G22" s="39"/>
    </row>
    <row r="23" spans="2:11" x14ac:dyDescent="0.25">
      <c r="B23" s="30"/>
      <c r="C23" s="30"/>
      <c r="D23" s="37"/>
      <c r="E23" s="38"/>
      <c r="F23" s="37"/>
      <c r="G23" s="39"/>
    </row>
    <row r="24" spans="2:11" x14ac:dyDescent="0.25">
      <c r="B24" s="30"/>
      <c r="C24" s="30"/>
      <c r="D24" s="37"/>
      <c r="E24" s="38"/>
      <c r="F24" s="37"/>
      <c r="G24" s="39"/>
    </row>
    <row r="25" spans="2:11" x14ac:dyDescent="0.25">
      <c r="B25" s="30"/>
      <c r="C25" s="30"/>
      <c r="D25" s="37"/>
      <c r="E25" s="38"/>
      <c r="F25" s="37"/>
      <c r="G25" s="39"/>
    </row>
    <row r="26" spans="2:11" x14ac:dyDescent="0.25">
      <c r="B26" s="30"/>
      <c r="C26" s="30"/>
      <c r="D26" s="37"/>
      <c r="E26" s="38"/>
      <c r="F26" s="37"/>
      <c r="G26" s="39"/>
    </row>
    <row r="27" spans="2:11" x14ac:dyDescent="0.25">
      <c r="B27" s="30"/>
      <c r="C27" s="30"/>
      <c r="D27" s="37"/>
      <c r="E27" s="38"/>
      <c r="F27" s="37"/>
      <c r="G27" s="39"/>
    </row>
    <row r="28" spans="2:11" x14ac:dyDescent="0.25">
      <c r="B28" s="30"/>
      <c r="C28" s="30"/>
      <c r="D28" s="37"/>
      <c r="E28" s="38"/>
      <c r="F28" s="37"/>
      <c r="G28" s="39"/>
    </row>
    <row r="29" spans="2:11" x14ac:dyDescent="0.25">
      <c r="B29" s="30"/>
      <c r="C29" s="30"/>
      <c r="D29" s="37"/>
      <c r="E29" s="38"/>
      <c r="F29" s="37"/>
      <c r="G29" s="39"/>
    </row>
    <row r="30" spans="2:11" x14ac:dyDescent="0.25">
      <c r="B30" s="30"/>
      <c r="C30" s="30"/>
      <c r="D30" s="37"/>
      <c r="E30" s="38"/>
      <c r="F30" s="37"/>
      <c r="G30" s="39"/>
    </row>
    <row r="31" spans="2:11" x14ac:dyDescent="0.25">
      <c r="B31" s="30"/>
      <c r="C31" s="30"/>
      <c r="D31" s="37"/>
      <c r="E31" s="38"/>
      <c r="F31" s="37"/>
      <c r="G31" s="39"/>
    </row>
    <row r="32" spans="2:11" x14ac:dyDescent="0.25">
      <c r="B32" s="30"/>
      <c r="C32" s="30"/>
      <c r="D32" s="37"/>
      <c r="E32" s="38"/>
      <c r="F32" s="37"/>
      <c r="G32" s="39"/>
    </row>
    <row r="33" spans="2:7" x14ac:dyDescent="0.25">
      <c r="B33" s="30"/>
      <c r="C33" s="30"/>
      <c r="D33" s="37"/>
      <c r="E33" s="38"/>
      <c r="F33" s="37"/>
      <c r="G33" s="39"/>
    </row>
    <row r="34" spans="2:7" x14ac:dyDescent="0.25">
      <c r="B34" s="30"/>
      <c r="C34" s="30"/>
      <c r="D34" s="37"/>
      <c r="E34" s="38"/>
      <c r="F34" s="37"/>
      <c r="G34" s="39"/>
    </row>
    <row r="35" spans="2:7" x14ac:dyDescent="0.25">
      <c r="B35" s="30"/>
      <c r="C35" s="30"/>
      <c r="D35" s="37"/>
      <c r="E35" s="38"/>
      <c r="F35" s="37"/>
      <c r="G35" s="39"/>
    </row>
    <row r="36" spans="2:7" x14ac:dyDescent="0.25">
      <c r="B36" s="30"/>
      <c r="C36" s="30"/>
      <c r="D36" s="37"/>
      <c r="E36" s="38"/>
      <c r="F36" s="37"/>
      <c r="G36" s="39"/>
    </row>
    <row r="37" spans="2:7" x14ac:dyDescent="0.25">
      <c r="B37" s="30"/>
      <c r="C37" s="30"/>
      <c r="D37" s="37"/>
      <c r="E37" s="38"/>
      <c r="F37" s="37"/>
      <c r="G37" s="39"/>
    </row>
    <row r="38" spans="2:7" x14ac:dyDescent="0.25">
      <c r="B38" s="30"/>
      <c r="C38" s="30"/>
      <c r="D38" s="37"/>
      <c r="E38" s="38"/>
      <c r="F38" s="37"/>
      <c r="G38" s="39"/>
    </row>
    <row r="39" spans="2:7" x14ac:dyDescent="0.25">
      <c r="B39" s="30"/>
      <c r="C39" s="30"/>
      <c r="D39" s="37"/>
      <c r="E39" s="38"/>
      <c r="F39" s="37"/>
      <c r="G39" s="39"/>
    </row>
    <row r="40" spans="2:7" x14ac:dyDescent="0.25">
      <c r="B40" s="30"/>
      <c r="C40" s="30"/>
      <c r="D40" s="37"/>
      <c r="E40" s="38"/>
      <c r="F40" s="37"/>
      <c r="G40" s="39"/>
    </row>
    <row r="41" spans="2:7" x14ac:dyDescent="0.25">
      <c r="B41" s="30"/>
      <c r="C41" s="30"/>
      <c r="D41" s="37"/>
      <c r="E41" s="38"/>
      <c r="F41" s="37"/>
      <c r="G41" s="39"/>
    </row>
    <row r="42" spans="2:7" x14ac:dyDescent="0.25">
      <c r="B42" s="30"/>
      <c r="C42" s="30"/>
      <c r="D42" s="37"/>
      <c r="E42" s="38"/>
      <c r="F42" s="37"/>
      <c r="G42" s="39"/>
    </row>
    <row r="43" spans="2:7" x14ac:dyDescent="0.25">
      <c r="B43" s="30"/>
      <c r="C43" s="30"/>
      <c r="D43" s="37"/>
      <c r="E43" s="38"/>
      <c r="F43" s="37"/>
      <c r="G43" s="39"/>
    </row>
    <row r="44" spans="2:7" x14ac:dyDescent="0.25">
      <c r="B44" s="30"/>
      <c r="C44" s="30"/>
      <c r="D44" s="37"/>
      <c r="E44" s="38"/>
      <c r="F44" s="37"/>
      <c r="G44" s="39"/>
    </row>
    <row r="45" spans="2:7" x14ac:dyDescent="0.25">
      <c r="B45" s="30"/>
      <c r="C45" s="30"/>
      <c r="D45" s="37"/>
      <c r="E45" s="38"/>
      <c r="F45" s="37"/>
      <c r="G45" s="39"/>
    </row>
    <row r="46" spans="2:7" x14ac:dyDescent="0.25">
      <c r="B46" s="30"/>
      <c r="C46" s="30"/>
      <c r="D46" s="37"/>
      <c r="E46" s="38"/>
      <c r="F46" s="37"/>
      <c r="G46" s="39"/>
    </row>
    <row r="47" spans="2:7" x14ac:dyDescent="0.25">
      <c r="B47" s="30"/>
      <c r="C47" s="30"/>
      <c r="D47" s="37"/>
      <c r="E47" s="38"/>
      <c r="F47" s="37"/>
      <c r="G47" s="39"/>
    </row>
    <row r="48" spans="2:7" x14ac:dyDescent="0.25">
      <c r="B48" s="30"/>
      <c r="C48" s="30"/>
      <c r="D48" s="37"/>
      <c r="E48" s="38"/>
      <c r="F48" s="37"/>
      <c r="G48" s="39"/>
    </row>
    <row r="49" spans="2:7" x14ac:dyDescent="0.25">
      <c r="B49" s="30"/>
      <c r="C49" s="30"/>
      <c r="D49" s="37"/>
      <c r="E49" s="38"/>
      <c r="F49" s="37"/>
      <c r="G49" s="39"/>
    </row>
    <row r="50" spans="2:7" x14ac:dyDescent="0.25">
      <c r="B50" s="30"/>
      <c r="C50" s="30"/>
      <c r="D50" s="37"/>
      <c r="E50" s="38"/>
      <c r="F50" s="37"/>
      <c r="G50" s="39"/>
    </row>
    <row r="51" spans="2:7" x14ac:dyDescent="0.25">
      <c r="B51" s="30"/>
      <c r="C51" s="30"/>
      <c r="D51" s="37"/>
      <c r="E51" s="38"/>
      <c r="F51" s="37"/>
      <c r="G51" s="39"/>
    </row>
    <row r="52" spans="2:7" x14ac:dyDescent="0.25">
      <c r="B52" s="30"/>
      <c r="C52" s="30"/>
      <c r="D52" s="37"/>
      <c r="E52" s="38"/>
      <c r="F52" s="37"/>
      <c r="G52" s="39"/>
    </row>
    <row r="53" spans="2:7" x14ac:dyDescent="0.25">
      <c r="B53" s="30"/>
      <c r="C53" s="30"/>
      <c r="D53" s="37"/>
      <c r="E53" s="38"/>
      <c r="F53" s="37"/>
      <c r="G53" s="39"/>
    </row>
    <row r="54" spans="2:7" x14ac:dyDescent="0.25">
      <c r="B54" s="30"/>
      <c r="C54" s="30"/>
      <c r="D54" s="37"/>
      <c r="E54" s="38"/>
      <c r="F54" s="37"/>
      <c r="G54" s="39"/>
    </row>
    <row r="55" spans="2:7" x14ac:dyDescent="0.25">
      <c r="B55" s="30"/>
      <c r="C55" s="30"/>
      <c r="D55" s="37"/>
      <c r="E55" s="38"/>
      <c r="F55" s="37"/>
      <c r="G55" s="39"/>
    </row>
    <row r="56" spans="2:7" x14ac:dyDescent="0.25">
      <c r="B56" s="30"/>
      <c r="C56" s="30"/>
      <c r="D56" s="37"/>
      <c r="E56" s="38"/>
      <c r="F56" s="37"/>
      <c r="G56" s="39"/>
    </row>
    <row r="57" spans="2:7" x14ac:dyDescent="0.25">
      <c r="B57" s="30"/>
      <c r="C57" s="30"/>
      <c r="D57" s="37"/>
      <c r="E57" s="38"/>
      <c r="F57" s="37"/>
      <c r="G57" s="39"/>
    </row>
    <row r="58" spans="2:7" x14ac:dyDescent="0.25">
      <c r="B58" s="30"/>
      <c r="C58" s="30"/>
      <c r="D58" s="37"/>
      <c r="E58" s="38"/>
      <c r="F58" s="37"/>
      <c r="G58" s="39"/>
    </row>
    <row r="59" spans="2:7" x14ac:dyDescent="0.25">
      <c r="B59" s="30"/>
      <c r="C59" s="30"/>
      <c r="D59" s="37"/>
      <c r="E59" s="38"/>
      <c r="F59" s="37"/>
      <c r="G59" s="39"/>
    </row>
    <row r="60" spans="2:7" x14ac:dyDescent="0.25">
      <c r="B60" s="30"/>
      <c r="C60" s="30"/>
      <c r="D60" s="37"/>
      <c r="E60" s="38"/>
      <c r="F60" s="37"/>
      <c r="G60" s="39"/>
    </row>
    <row r="61" spans="2:7" x14ac:dyDescent="0.25">
      <c r="B61" s="30"/>
      <c r="C61" s="30"/>
      <c r="D61" s="37"/>
      <c r="E61" s="38"/>
      <c r="F61" s="37"/>
      <c r="G61" s="39"/>
    </row>
    <row r="62" spans="2:7" x14ac:dyDescent="0.25">
      <c r="B62" s="30"/>
      <c r="C62" s="30"/>
      <c r="D62" s="37"/>
      <c r="E62" s="38"/>
      <c r="F62" s="37"/>
      <c r="G62" s="39"/>
    </row>
    <row r="63" spans="2:7" x14ac:dyDescent="0.25">
      <c r="B63" s="30"/>
      <c r="C63" s="30"/>
      <c r="D63" s="37"/>
      <c r="E63" s="38"/>
      <c r="F63" s="37"/>
      <c r="G63" s="39"/>
    </row>
    <row r="64" spans="2:7" x14ac:dyDescent="0.25">
      <c r="B64" s="30"/>
      <c r="C64" s="30"/>
      <c r="D64" s="37"/>
      <c r="E64" s="38"/>
      <c r="F64" s="37"/>
      <c r="G64" s="39"/>
    </row>
    <row r="65" spans="2:7" x14ac:dyDescent="0.25">
      <c r="B65" s="30"/>
      <c r="C65" s="30"/>
      <c r="D65" s="37"/>
      <c r="E65" s="38"/>
      <c r="F65" s="37"/>
      <c r="G65" s="39"/>
    </row>
    <row r="66" spans="2:7" x14ac:dyDescent="0.25">
      <c r="B66" s="30"/>
      <c r="C66" s="30"/>
      <c r="D66" s="37"/>
      <c r="E66" s="38"/>
      <c r="F66" s="37"/>
      <c r="G66" s="39"/>
    </row>
    <row r="67" spans="2:7" x14ac:dyDescent="0.25">
      <c r="B67" s="30"/>
      <c r="C67" s="30"/>
      <c r="D67" s="37"/>
      <c r="E67" s="38"/>
      <c r="F67" s="37"/>
      <c r="G67" s="39"/>
    </row>
    <row r="68" spans="2:7" x14ac:dyDescent="0.25">
      <c r="B68" s="30"/>
      <c r="C68" s="30"/>
      <c r="D68" s="37"/>
      <c r="E68" s="38"/>
      <c r="F68" s="37"/>
      <c r="G68" s="39"/>
    </row>
    <row r="69" spans="2:7" x14ac:dyDescent="0.25">
      <c r="B69" s="30"/>
      <c r="C69" s="30"/>
      <c r="D69" s="37"/>
      <c r="E69" s="38"/>
      <c r="F69" s="37"/>
      <c r="G69" s="39"/>
    </row>
    <row r="70" spans="2:7" x14ac:dyDescent="0.25">
      <c r="B70" s="30"/>
      <c r="C70" s="30"/>
      <c r="D70" s="37"/>
      <c r="E70" s="38"/>
      <c r="F70" s="37"/>
      <c r="G70" s="39"/>
    </row>
    <row r="71" spans="2:7" x14ac:dyDescent="0.25">
      <c r="B71" s="30"/>
      <c r="C71" s="30"/>
      <c r="D71" s="37"/>
      <c r="E71" s="38"/>
      <c r="F71" s="37"/>
      <c r="G71" s="39"/>
    </row>
    <row r="72" spans="2:7" x14ac:dyDescent="0.25">
      <c r="B72" s="30"/>
      <c r="C72" s="30"/>
      <c r="D72" s="37"/>
      <c r="E72" s="38"/>
      <c r="F72" s="37"/>
      <c r="G72" s="39"/>
    </row>
    <row r="73" spans="2:7" x14ac:dyDescent="0.25">
      <c r="B73" s="30"/>
      <c r="C73" s="30"/>
      <c r="D73" s="37"/>
      <c r="E73" s="38"/>
      <c r="F73" s="37"/>
      <c r="G73" s="39"/>
    </row>
    <row r="74" spans="2:7" x14ac:dyDescent="0.25">
      <c r="B74" s="30"/>
      <c r="C74" s="30"/>
      <c r="D74" s="37"/>
      <c r="E74" s="38"/>
      <c r="F74" s="37"/>
      <c r="G74" s="39"/>
    </row>
    <row r="75" spans="2:7" x14ac:dyDescent="0.25">
      <c r="B75" s="30"/>
      <c r="C75" s="30"/>
      <c r="D75" s="37"/>
      <c r="E75" s="38"/>
      <c r="F75" s="37"/>
      <c r="G75" s="39"/>
    </row>
    <row r="76" spans="2:7" x14ac:dyDescent="0.25">
      <c r="B76" s="30"/>
      <c r="C76" s="30"/>
      <c r="D76" s="37"/>
      <c r="E76" s="38"/>
      <c r="F76" s="37"/>
      <c r="G76" s="39"/>
    </row>
    <row r="77" spans="2:7" x14ac:dyDescent="0.25">
      <c r="B77" s="30"/>
      <c r="C77" s="30"/>
      <c r="D77" s="37"/>
      <c r="E77" s="38"/>
      <c r="F77" s="37"/>
      <c r="G77" s="39"/>
    </row>
    <row r="78" spans="2:7" x14ac:dyDescent="0.25">
      <c r="B78" s="30"/>
      <c r="C78" s="30"/>
      <c r="D78" s="37"/>
      <c r="E78" s="38"/>
      <c r="F78" s="37"/>
      <c r="G78" s="39"/>
    </row>
    <row r="79" spans="2:7" x14ac:dyDescent="0.25">
      <c r="B79" s="30"/>
      <c r="C79" s="30"/>
      <c r="D79" s="37"/>
      <c r="E79" s="38"/>
      <c r="F79" s="37"/>
      <c r="G79" s="39"/>
    </row>
    <row r="80" spans="2:7" x14ac:dyDescent="0.25">
      <c r="B80" s="30"/>
      <c r="C80" s="30"/>
      <c r="D80" s="37"/>
      <c r="E80" s="38"/>
      <c r="F80" s="37"/>
      <c r="G80" s="39"/>
    </row>
    <row r="81" spans="2:7" x14ac:dyDescent="0.25">
      <c r="B81" s="30"/>
      <c r="C81" s="30"/>
      <c r="D81" s="37"/>
      <c r="E81" s="38"/>
      <c r="F81" s="37"/>
      <c r="G81" s="39"/>
    </row>
    <row r="82" spans="2:7" x14ac:dyDescent="0.25">
      <c r="B82" s="30"/>
      <c r="C82" s="30"/>
      <c r="D82" s="37"/>
      <c r="E82" s="38"/>
      <c r="F82" s="37"/>
      <c r="G82" s="39"/>
    </row>
    <row r="83" spans="2:7" x14ac:dyDescent="0.25">
      <c r="B83" s="30"/>
      <c r="C83" s="30"/>
      <c r="D83" s="37"/>
      <c r="E83" s="38"/>
      <c r="F83" s="37"/>
      <c r="G83" s="39"/>
    </row>
    <row r="84" spans="2:7" x14ac:dyDescent="0.25">
      <c r="B84" s="30"/>
      <c r="C84" s="30"/>
      <c r="D84" s="37"/>
      <c r="E84" s="38"/>
      <c r="F84" s="37"/>
      <c r="G84" s="39"/>
    </row>
    <row r="85" spans="2:7" x14ac:dyDescent="0.25">
      <c r="B85" s="30"/>
      <c r="C85" s="30"/>
      <c r="D85" s="37"/>
      <c r="E85" s="38"/>
      <c r="F85" s="37"/>
      <c r="G85" s="39"/>
    </row>
    <row r="86" spans="2:7" x14ac:dyDescent="0.25">
      <c r="B86" s="30"/>
      <c r="C86" s="30"/>
      <c r="D86" s="37"/>
      <c r="E86" s="38"/>
      <c r="F86" s="37"/>
      <c r="G86" s="39"/>
    </row>
    <row r="87" spans="2:7" x14ac:dyDescent="0.25">
      <c r="B87" s="30"/>
      <c r="C87" s="30"/>
      <c r="D87" s="37"/>
      <c r="E87" s="38"/>
      <c r="F87" s="37"/>
      <c r="G87" s="39"/>
    </row>
    <row r="88" spans="2:7" x14ac:dyDescent="0.25">
      <c r="B88" s="30"/>
      <c r="C88" s="30"/>
      <c r="D88" s="37"/>
      <c r="E88" s="38"/>
      <c r="F88" s="37"/>
      <c r="G88" s="39"/>
    </row>
    <row r="89" spans="2:7" x14ac:dyDescent="0.25">
      <c r="B89" s="30"/>
      <c r="C89" s="30"/>
      <c r="D89" s="37"/>
      <c r="E89" s="38"/>
      <c r="F89" s="37"/>
      <c r="G89" s="39"/>
    </row>
    <row r="90" spans="2:7" x14ac:dyDescent="0.25">
      <c r="B90" s="30"/>
      <c r="C90" s="30"/>
      <c r="D90" s="37"/>
      <c r="E90" s="38"/>
      <c r="F90" s="37"/>
      <c r="G90" s="39"/>
    </row>
    <row r="91" spans="2:7" x14ac:dyDescent="0.25">
      <c r="B91" s="30"/>
      <c r="C91" s="30"/>
      <c r="D91" s="37"/>
      <c r="E91" s="38"/>
      <c r="F91" s="37"/>
      <c r="G91" s="39"/>
    </row>
    <row r="92" spans="2:7" x14ac:dyDescent="0.25">
      <c r="B92" s="30"/>
      <c r="C92" s="30"/>
      <c r="D92" s="37"/>
      <c r="E92" s="38"/>
      <c r="F92" s="37"/>
      <c r="G92" s="39"/>
    </row>
    <row r="93" spans="2:7" x14ac:dyDescent="0.25">
      <c r="B93" s="30"/>
      <c r="C93" s="25"/>
      <c r="D93" s="26"/>
      <c r="E93" s="27"/>
      <c r="F93" s="26"/>
      <c r="G93" s="28"/>
    </row>
    <row r="94" spans="2:7" x14ac:dyDescent="0.25">
      <c r="B94" s="30"/>
      <c r="C94" s="12"/>
      <c r="D94" s="10"/>
      <c r="E94" s="15"/>
      <c r="F94" s="10"/>
      <c r="G94" s="11"/>
    </row>
    <row r="95" spans="2:7" x14ac:dyDescent="0.25">
      <c r="B95" s="30"/>
      <c r="C95" s="12"/>
      <c r="D95" s="10"/>
      <c r="E95" s="15"/>
      <c r="F95" s="10"/>
      <c r="G95" s="11"/>
    </row>
    <row r="96" spans="2:7" x14ac:dyDescent="0.25">
      <c r="B96" s="30"/>
      <c r="C96" s="12"/>
      <c r="D96" s="10"/>
      <c r="E96" s="15"/>
      <c r="F96" s="10"/>
      <c r="G96" s="11"/>
    </row>
    <row r="97" spans="2:7" x14ac:dyDescent="0.25">
      <c r="B97" s="30"/>
      <c r="C97" s="12"/>
      <c r="D97" s="10"/>
      <c r="E97" s="15"/>
      <c r="F97" s="10"/>
      <c r="G97" s="11"/>
    </row>
    <row r="98" spans="2:7" x14ac:dyDescent="0.25">
      <c r="B98" s="30"/>
      <c r="C98" s="12"/>
      <c r="D98" s="10"/>
      <c r="E98" s="15"/>
      <c r="F98" s="10"/>
      <c r="G98" s="11"/>
    </row>
    <row r="99" spans="2:7" x14ac:dyDescent="0.25">
      <c r="B99" s="30"/>
      <c r="C99" s="12"/>
      <c r="D99" s="10"/>
      <c r="E99" s="15"/>
      <c r="F99" s="10"/>
      <c r="G99" s="11"/>
    </row>
    <row r="100" spans="2:7" x14ac:dyDescent="0.25">
      <c r="B100" s="30"/>
      <c r="C100" s="12"/>
      <c r="D100" s="10"/>
      <c r="E100" s="15"/>
      <c r="F100" s="10"/>
      <c r="G100" s="11"/>
    </row>
    <row r="101" spans="2:7" x14ac:dyDescent="0.25">
      <c r="B101" s="30"/>
      <c r="C101" s="12"/>
      <c r="D101" s="10"/>
      <c r="E101" s="15"/>
      <c r="F101" s="10"/>
      <c r="G101" s="11"/>
    </row>
    <row r="102" spans="2:7" x14ac:dyDescent="0.25">
      <c r="B102" s="30"/>
      <c r="C102" s="12"/>
      <c r="D102" s="10"/>
      <c r="E102" s="15"/>
      <c r="F102" s="10"/>
      <c r="G102" s="11"/>
    </row>
    <row r="103" spans="2:7" x14ac:dyDescent="0.25">
      <c r="B103" s="30"/>
      <c r="C103" s="12"/>
      <c r="D103" s="10"/>
      <c r="E103" s="15"/>
      <c r="F103" s="10"/>
      <c r="G103" s="11"/>
    </row>
    <row r="104" spans="2:7" x14ac:dyDescent="0.25">
      <c r="B104" s="30"/>
      <c r="C104" s="12"/>
      <c r="D104" s="10"/>
      <c r="E104" s="15"/>
      <c r="F104" s="10"/>
      <c r="G104" s="11"/>
    </row>
    <row r="105" spans="2:7" x14ac:dyDescent="0.25">
      <c r="B105" s="30"/>
      <c r="C105" s="12"/>
      <c r="D105" s="10"/>
      <c r="E105" s="15"/>
      <c r="F105" s="10"/>
      <c r="G105" s="11"/>
    </row>
    <row r="106" spans="2:7" x14ac:dyDescent="0.25">
      <c r="B106" s="30"/>
      <c r="C106" s="12"/>
      <c r="D106" s="10"/>
      <c r="E106" s="15"/>
      <c r="F106" s="10"/>
      <c r="G106" s="11"/>
    </row>
    <row r="107" spans="2:7" x14ac:dyDescent="0.25">
      <c r="B107" s="30"/>
      <c r="C107" s="12"/>
      <c r="D107" s="10"/>
      <c r="E107" s="15"/>
      <c r="F107" s="10"/>
      <c r="G107" s="11"/>
    </row>
    <row r="108" spans="2:7" x14ac:dyDescent="0.25">
      <c r="B108" s="30"/>
      <c r="C108" s="12"/>
      <c r="D108" s="10"/>
      <c r="E108" s="15"/>
      <c r="F108" s="10"/>
      <c r="G108" s="11"/>
    </row>
    <row r="109" spans="2:7" x14ac:dyDescent="0.25">
      <c r="B109" s="30"/>
      <c r="C109" s="12"/>
      <c r="D109" s="10"/>
      <c r="E109" s="15"/>
      <c r="F109" s="10"/>
      <c r="G109" s="11"/>
    </row>
    <row r="110" spans="2:7" x14ac:dyDescent="0.25">
      <c r="B110" s="5" t="s">
        <v>38</v>
      </c>
      <c r="C110" s="5" t="s">
        <v>38</v>
      </c>
      <c r="D110" s="5"/>
      <c r="E110" s="5"/>
      <c r="F110" s="5"/>
      <c r="G110" s="6">
        <f>SUM(G10:G109)</f>
        <v>0</v>
      </c>
    </row>
  </sheetData>
  <autoFilter ref="B9:G93" xr:uid="{00000000-0001-0000-0200-000000000000}"/>
  <mergeCells count="3">
    <mergeCell ref="B1:K1"/>
    <mergeCell ref="B8:G8"/>
    <mergeCell ref="I8:K8"/>
  </mergeCells>
  <dataValidations count="1">
    <dataValidation type="list" allowBlank="1" showInputMessage="1" showErrorMessage="1" sqref="F10:F109" xr:uid="{2136A81C-4937-4C26-AD61-D151D8892F1A}">
      <formula1>$I$10:$I$20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58EF6B-2872-443E-BAC6-F64DD48D4CC1}">
          <x14:formula1>
            <xm:f>Resumo!$B$6:$B$17</xm:f>
          </x14:formula1>
          <xm:sqref>D2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25</vt:i4>
      </vt:variant>
    </vt:vector>
  </HeadingPairs>
  <TitlesOfParts>
    <vt:vector size="25" baseType="lpstr">
      <vt:lpstr>Resumo</vt:lpstr>
      <vt:lpstr>Janeiro</vt:lpstr>
      <vt:lpstr>Janeiro-Cartão</vt:lpstr>
      <vt:lpstr>Fevereiro</vt:lpstr>
      <vt:lpstr>Fevereiro-Cartão</vt:lpstr>
      <vt:lpstr>Março</vt:lpstr>
      <vt:lpstr>Março-Cartão</vt:lpstr>
      <vt:lpstr>Abril</vt:lpstr>
      <vt:lpstr>Abril-Cartão</vt:lpstr>
      <vt:lpstr>Maio</vt:lpstr>
      <vt:lpstr>Maio-Cartão</vt:lpstr>
      <vt:lpstr>Junho</vt:lpstr>
      <vt:lpstr>Junho-Cartão</vt:lpstr>
      <vt:lpstr>Julho</vt:lpstr>
      <vt:lpstr>Julho-Cartão</vt:lpstr>
      <vt:lpstr>Agosto</vt:lpstr>
      <vt:lpstr>Agosto-Cartão</vt:lpstr>
      <vt:lpstr>Setembro</vt:lpstr>
      <vt:lpstr>Setembro-Cartão</vt:lpstr>
      <vt:lpstr>Outubro</vt:lpstr>
      <vt:lpstr>Outubro-Cartão</vt:lpstr>
      <vt:lpstr>Novembro</vt:lpstr>
      <vt:lpstr>Novembro-Cartão</vt:lpstr>
      <vt:lpstr>Dezembro</vt:lpstr>
      <vt:lpstr>Dezembro-Cartão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Ricardo Prazeres</cp:lastModifiedBy>
  <cp:revision>1</cp:revision>
  <dcterms:created xsi:type="dcterms:W3CDTF">2026-07-09T11:03:05Z</dcterms:created>
  <dcterms:modified xsi:type="dcterms:W3CDTF">2026-07-31T12:27:03Z</dcterms:modified>
  <dc:language>en-US</dc:language>
</cp:coreProperties>
</file>